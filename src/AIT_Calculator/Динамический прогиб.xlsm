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ПРОЕКТЫ\Динамический прогиб\"/>
    </mc:Choice>
  </mc:AlternateContent>
  <bookViews>
    <workbookView xWindow="0" yWindow="0" windowWidth="28800" windowHeight="13590" firstSheet="1" activeTab="8"/>
  </bookViews>
  <sheets>
    <sheet name="ASI_BUS" sheetId="1" r:id="rId1"/>
    <sheet name="ОСЬ X" sheetId="3" r:id="rId2"/>
    <sheet name="ОСЬ Y" sheetId="4" r:id="rId3"/>
    <sheet name="ОСЬ Z" sheetId="5" r:id="rId4"/>
    <sheet name="Перемещение" sheetId="6" r:id="rId5"/>
    <sheet name="@" sheetId="2" r:id="rId6"/>
    <sheet name="Начальные условия и парам." sheetId="7" r:id="rId7"/>
    <sheet name="аксел-ры 1 и 2 и интегр-ие  " sheetId="8" r:id="rId8"/>
    <sheet name="Ур-ие движ. т 1,2 3-6 угол пов " sheetId="9" r:id="rId9"/>
  </sheets>
  <calcPr calcId="162913"/>
</workbook>
</file>

<file path=xl/calcChain.xml><?xml version="1.0" encoding="utf-8"?>
<calcChain xmlns="http://schemas.openxmlformats.org/spreadsheetml/2006/main">
  <c r="Z132" i="9" l="1"/>
  <c r="Y132" i="9"/>
  <c r="X132" i="9"/>
  <c r="V132" i="9"/>
  <c r="U132" i="9"/>
  <c r="T132" i="9"/>
  <c r="R132" i="9"/>
  <c r="Q132" i="9"/>
  <c r="P132" i="9"/>
  <c r="N132" i="9"/>
  <c r="M132" i="9"/>
  <c r="L132" i="9"/>
  <c r="Z131" i="9"/>
  <c r="Y131" i="9"/>
  <c r="X131" i="9"/>
  <c r="V131" i="9"/>
  <c r="U131" i="9"/>
  <c r="T131" i="9"/>
  <c r="R131" i="9"/>
  <c r="Q131" i="9"/>
  <c r="P131" i="9"/>
  <c r="N131" i="9"/>
  <c r="M131" i="9"/>
  <c r="L131" i="9"/>
  <c r="Z130" i="9"/>
  <c r="Y130" i="9"/>
  <c r="X130" i="9"/>
  <c r="V130" i="9"/>
  <c r="U130" i="9"/>
  <c r="T130" i="9"/>
  <c r="R130" i="9"/>
  <c r="Q130" i="9"/>
  <c r="P130" i="9"/>
  <c r="N130" i="9"/>
  <c r="M130" i="9"/>
  <c r="L130" i="9"/>
  <c r="Z129" i="9"/>
  <c r="Y129" i="9"/>
  <c r="X129" i="9"/>
  <c r="V129" i="9"/>
  <c r="U129" i="9"/>
  <c r="T129" i="9"/>
  <c r="R129" i="9"/>
  <c r="Q129" i="9"/>
  <c r="P129" i="9"/>
  <c r="N129" i="9"/>
  <c r="M129" i="9"/>
  <c r="L129" i="9"/>
  <c r="Z128" i="9"/>
  <c r="Y128" i="9"/>
  <c r="X128" i="9"/>
  <c r="V128" i="9"/>
  <c r="U128" i="9"/>
  <c r="T128" i="9"/>
  <c r="R128" i="9"/>
  <c r="Q128" i="9"/>
  <c r="P128" i="9"/>
  <c r="N128" i="9"/>
  <c r="M128" i="9"/>
  <c r="L128" i="9"/>
  <c r="Z127" i="9"/>
  <c r="Y127" i="9"/>
  <c r="X127" i="9"/>
  <c r="V127" i="9"/>
  <c r="U127" i="9"/>
  <c r="T127" i="9"/>
  <c r="R127" i="9"/>
  <c r="Q127" i="9"/>
  <c r="P127" i="9"/>
  <c r="N127" i="9"/>
  <c r="M127" i="9"/>
  <c r="L127" i="9"/>
  <c r="Z126" i="9"/>
  <c r="Y126" i="9"/>
  <c r="X126" i="9"/>
  <c r="V126" i="9"/>
  <c r="U126" i="9"/>
  <c r="T126" i="9"/>
  <c r="R126" i="9"/>
  <c r="Q126" i="9"/>
  <c r="P126" i="9"/>
  <c r="N126" i="9"/>
  <c r="M126" i="9"/>
  <c r="L126" i="9"/>
  <c r="Z125" i="9"/>
  <c r="Y125" i="9"/>
  <c r="X125" i="9"/>
  <c r="V125" i="9"/>
  <c r="U125" i="9"/>
  <c r="T125" i="9"/>
  <c r="R125" i="9"/>
  <c r="Q125" i="9"/>
  <c r="P125" i="9"/>
  <c r="N125" i="9"/>
  <c r="M125" i="9"/>
  <c r="L125" i="9"/>
  <c r="Z124" i="9"/>
  <c r="Y124" i="9"/>
  <c r="X124" i="9"/>
  <c r="V124" i="9"/>
  <c r="U124" i="9"/>
  <c r="T124" i="9"/>
  <c r="R124" i="9"/>
  <c r="Q124" i="9"/>
  <c r="P124" i="9"/>
  <c r="N124" i="9"/>
  <c r="M124" i="9"/>
  <c r="L124" i="9"/>
  <c r="Z123" i="9"/>
  <c r="Y123" i="9"/>
  <c r="X123" i="9"/>
  <c r="V123" i="9"/>
  <c r="U123" i="9"/>
  <c r="T123" i="9"/>
  <c r="R123" i="9"/>
  <c r="Q123" i="9"/>
  <c r="P123" i="9"/>
  <c r="N123" i="9"/>
  <c r="M123" i="9"/>
  <c r="L123" i="9"/>
  <c r="Z122" i="9"/>
  <c r="Y122" i="9"/>
  <c r="X122" i="9"/>
  <c r="V122" i="9"/>
  <c r="U122" i="9"/>
  <c r="T122" i="9"/>
  <c r="R122" i="9"/>
  <c r="Q122" i="9"/>
  <c r="P122" i="9"/>
  <c r="N122" i="9"/>
  <c r="M122" i="9"/>
  <c r="L122" i="9"/>
  <c r="Z121" i="9"/>
  <c r="Y121" i="9"/>
  <c r="X121" i="9"/>
  <c r="V121" i="9"/>
  <c r="U121" i="9"/>
  <c r="T121" i="9"/>
  <c r="R121" i="9"/>
  <c r="Q121" i="9"/>
  <c r="P121" i="9"/>
  <c r="N121" i="9"/>
  <c r="M121" i="9"/>
  <c r="L121" i="9"/>
  <c r="Z120" i="9"/>
  <c r="Y120" i="9"/>
  <c r="X120" i="9"/>
  <c r="V120" i="9"/>
  <c r="U120" i="9"/>
  <c r="T120" i="9"/>
  <c r="R120" i="9"/>
  <c r="Q120" i="9"/>
  <c r="P120" i="9"/>
  <c r="N120" i="9"/>
  <c r="M120" i="9"/>
  <c r="L120" i="9"/>
  <c r="Z119" i="9"/>
  <c r="Y119" i="9"/>
  <c r="X119" i="9"/>
  <c r="V119" i="9"/>
  <c r="U119" i="9"/>
  <c r="T119" i="9"/>
  <c r="R119" i="9"/>
  <c r="Q119" i="9"/>
  <c r="P119" i="9"/>
  <c r="N119" i="9"/>
  <c r="M119" i="9"/>
  <c r="L119" i="9"/>
  <c r="Z118" i="9"/>
  <c r="Y118" i="9"/>
  <c r="X118" i="9"/>
  <c r="V118" i="9"/>
  <c r="U118" i="9"/>
  <c r="T118" i="9"/>
  <c r="R118" i="9"/>
  <c r="Q118" i="9"/>
  <c r="P118" i="9"/>
  <c r="N118" i="9"/>
  <c r="M118" i="9"/>
  <c r="L118" i="9"/>
  <c r="Z117" i="9"/>
  <c r="Y117" i="9"/>
  <c r="X117" i="9"/>
  <c r="V117" i="9"/>
  <c r="U117" i="9"/>
  <c r="T117" i="9"/>
  <c r="R117" i="9"/>
  <c r="Q117" i="9"/>
  <c r="P117" i="9"/>
  <c r="N117" i="9"/>
  <c r="M117" i="9"/>
  <c r="L117" i="9"/>
  <c r="Z116" i="9"/>
  <c r="Y116" i="9"/>
  <c r="X116" i="9"/>
  <c r="V116" i="9"/>
  <c r="U116" i="9"/>
  <c r="T116" i="9"/>
  <c r="R116" i="9"/>
  <c r="Q116" i="9"/>
  <c r="P116" i="9"/>
  <c r="N116" i="9"/>
  <c r="M116" i="9"/>
  <c r="L116" i="9"/>
  <c r="Z115" i="9"/>
  <c r="Y115" i="9"/>
  <c r="X115" i="9"/>
  <c r="V115" i="9"/>
  <c r="U115" i="9"/>
  <c r="T115" i="9"/>
  <c r="R115" i="9"/>
  <c r="Q115" i="9"/>
  <c r="P115" i="9"/>
  <c r="N115" i="9"/>
  <c r="M115" i="9"/>
  <c r="L115" i="9"/>
  <c r="Z114" i="9"/>
  <c r="Y114" i="9"/>
  <c r="X114" i="9"/>
  <c r="V114" i="9"/>
  <c r="U114" i="9"/>
  <c r="T114" i="9"/>
  <c r="R114" i="9"/>
  <c r="Q114" i="9"/>
  <c r="P114" i="9"/>
  <c r="N114" i="9"/>
  <c r="M114" i="9"/>
  <c r="L114" i="9"/>
  <c r="Z113" i="9"/>
  <c r="Y113" i="9"/>
  <c r="X113" i="9"/>
  <c r="V113" i="9"/>
  <c r="U113" i="9"/>
  <c r="T113" i="9"/>
  <c r="R113" i="9"/>
  <c r="Q113" i="9"/>
  <c r="P113" i="9"/>
  <c r="N113" i="9"/>
  <c r="M113" i="9"/>
  <c r="L113" i="9"/>
  <c r="Z112" i="9"/>
  <c r="Y112" i="9"/>
  <c r="X112" i="9"/>
  <c r="V112" i="9"/>
  <c r="U112" i="9"/>
  <c r="T112" i="9"/>
  <c r="R112" i="9"/>
  <c r="Q112" i="9"/>
  <c r="P112" i="9"/>
  <c r="N112" i="9"/>
  <c r="M112" i="9"/>
  <c r="L112" i="9"/>
  <c r="Z111" i="9"/>
  <c r="Y111" i="9"/>
  <c r="X111" i="9"/>
  <c r="V111" i="9"/>
  <c r="U111" i="9"/>
  <c r="T111" i="9"/>
  <c r="R111" i="9"/>
  <c r="Q111" i="9"/>
  <c r="P111" i="9"/>
  <c r="N111" i="9"/>
  <c r="M111" i="9"/>
  <c r="L111" i="9"/>
  <c r="Z110" i="9"/>
  <c r="Y110" i="9"/>
  <c r="X110" i="9"/>
  <c r="V110" i="9"/>
  <c r="U110" i="9"/>
  <c r="T110" i="9"/>
  <c r="R110" i="9"/>
  <c r="Q110" i="9"/>
  <c r="P110" i="9"/>
  <c r="N110" i="9"/>
  <c r="M110" i="9"/>
  <c r="L110" i="9"/>
  <c r="Z109" i="9"/>
  <c r="Y109" i="9"/>
  <c r="X109" i="9"/>
  <c r="V109" i="9"/>
  <c r="U109" i="9"/>
  <c r="T109" i="9"/>
  <c r="R109" i="9"/>
  <c r="Q109" i="9"/>
  <c r="P109" i="9"/>
  <c r="N109" i="9"/>
  <c r="M109" i="9"/>
  <c r="L109" i="9"/>
  <c r="Z108" i="9"/>
  <c r="Y108" i="9"/>
  <c r="X108" i="9"/>
  <c r="V108" i="9"/>
  <c r="U108" i="9"/>
  <c r="T108" i="9"/>
  <c r="R108" i="9"/>
  <c r="Q108" i="9"/>
  <c r="P108" i="9"/>
  <c r="N108" i="9"/>
  <c r="M108" i="9"/>
  <c r="L108" i="9"/>
  <c r="Z107" i="9"/>
  <c r="Y107" i="9"/>
  <c r="X107" i="9"/>
  <c r="V107" i="9"/>
  <c r="U107" i="9"/>
  <c r="T107" i="9"/>
  <c r="R107" i="9"/>
  <c r="Q107" i="9"/>
  <c r="P107" i="9"/>
  <c r="N107" i="9"/>
  <c r="M107" i="9"/>
  <c r="L107" i="9"/>
  <c r="Z106" i="9"/>
  <c r="Y106" i="9"/>
  <c r="X106" i="9"/>
  <c r="V106" i="9"/>
  <c r="U106" i="9"/>
  <c r="T106" i="9"/>
  <c r="R106" i="9"/>
  <c r="Q106" i="9"/>
  <c r="P106" i="9"/>
  <c r="N106" i="9"/>
  <c r="M106" i="9"/>
  <c r="L106" i="9"/>
  <c r="Z105" i="9"/>
  <c r="Y105" i="9"/>
  <c r="X105" i="9"/>
  <c r="V105" i="9"/>
  <c r="U105" i="9"/>
  <c r="T105" i="9"/>
  <c r="R105" i="9"/>
  <c r="Q105" i="9"/>
  <c r="P105" i="9"/>
  <c r="N105" i="9"/>
  <c r="M105" i="9"/>
  <c r="L105" i="9"/>
  <c r="Z104" i="9"/>
  <c r="Y104" i="9"/>
  <c r="X104" i="9"/>
  <c r="V104" i="9"/>
  <c r="U104" i="9"/>
  <c r="T104" i="9"/>
  <c r="R104" i="9"/>
  <c r="Q104" i="9"/>
  <c r="P104" i="9"/>
  <c r="N104" i="9"/>
  <c r="M104" i="9"/>
  <c r="L104" i="9"/>
  <c r="Z103" i="9"/>
  <c r="Y103" i="9"/>
  <c r="X103" i="9"/>
  <c r="V103" i="9"/>
  <c r="U103" i="9"/>
  <c r="T103" i="9"/>
  <c r="R103" i="9"/>
  <c r="Q103" i="9"/>
  <c r="P103" i="9"/>
  <c r="N103" i="9"/>
  <c r="M103" i="9"/>
  <c r="L103" i="9"/>
  <c r="Z102" i="9"/>
  <c r="Y102" i="9"/>
  <c r="X102" i="9"/>
  <c r="V102" i="9"/>
  <c r="U102" i="9"/>
  <c r="T102" i="9"/>
  <c r="R102" i="9"/>
  <c r="Q102" i="9"/>
  <c r="P102" i="9"/>
  <c r="N102" i="9"/>
  <c r="M102" i="9"/>
  <c r="L102" i="9"/>
  <c r="Z101" i="9"/>
  <c r="Y101" i="9"/>
  <c r="X101" i="9"/>
  <c r="V101" i="9"/>
  <c r="U101" i="9"/>
  <c r="T101" i="9"/>
  <c r="R101" i="9"/>
  <c r="Q101" i="9"/>
  <c r="P101" i="9"/>
  <c r="N101" i="9"/>
  <c r="M101" i="9"/>
  <c r="L101" i="9"/>
  <c r="Z100" i="9"/>
  <c r="Y100" i="9"/>
  <c r="X100" i="9"/>
  <c r="V100" i="9"/>
  <c r="U100" i="9"/>
  <c r="T100" i="9"/>
  <c r="R100" i="9"/>
  <c r="Q100" i="9"/>
  <c r="P100" i="9"/>
  <c r="N100" i="9"/>
  <c r="M100" i="9"/>
  <c r="L100" i="9"/>
  <c r="Z99" i="9"/>
  <c r="Y99" i="9"/>
  <c r="X99" i="9"/>
  <c r="V99" i="9"/>
  <c r="U99" i="9"/>
  <c r="T99" i="9"/>
  <c r="R99" i="9"/>
  <c r="Q99" i="9"/>
  <c r="P99" i="9"/>
  <c r="N99" i="9"/>
  <c r="M99" i="9"/>
  <c r="L99" i="9"/>
  <c r="Z98" i="9"/>
  <c r="Y98" i="9"/>
  <c r="X98" i="9"/>
  <c r="V98" i="9"/>
  <c r="U98" i="9"/>
  <c r="T98" i="9"/>
  <c r="R98" i="9"/>
  <c r="Q98" i="9"/>
  <c r="P98" i="9"/>
  <c r="N98" i="9"/>
  <c r="M98" i="9"/>
  <c r="L98" i="9"/>
  <c r="Z97" i="9"/>
  <c r="Y97" i="9"/>
  <c r="X97" i="9"/>
  <c r="V97" i="9"/>
  <c r="U97" i="9"/>
  <c r="T97" i="9"/>
  <c r="R97" i="9"/>
  <c r="Q97" i="9"/>
  <c r="P97" i="9"/>
  <c r="N97" i="9"/>
  <c r="M97" i="9"/>
  <c r="L97" i="9"/>
  <c r="Z96" i="9"/>
  <c r="Y96" i="9"/>
  <c r="X96" i="9"/>
  <c r="V96" i="9"/>
  <c r="U96" i="9"/>
  <c r="T96" i="9"/>
  <c r="R96" i="9"/>
  <c r="Q96" i="9"/>
  <c r="P96" i="9"/>
  <c r="N96" i="9"/>
  <c r="M96" i="9"/>
  <c r="L96" i="9"/>
  <c r="Z95" i="9"/>
  <c r="Y95" i="9"/>
  <c r="X95" i="9"/>
  <c r="V95" i="9"/>
  <c r="U95" i="9"/>
  <c r="T95" i="9"/>
  <c r="R95" i="9"/>
  <c r="Q95" i="9"/>
  <c r="P95" i="9"/>
  <c r="N95" i="9"/>
  <c r="M95" i="9"/>
  <c r="L95" i="9"/>
  <c r="Z94" i="9"/>
  <c r="Y94" i="9"/>
  <c r="X94" i="9"/>
  <c r="V94" i="9"/>
  <c r="U94" i="9"/>
  <c r="T94" i="9"/>
  <c r="R94" i="9"/>
  <c r="Q94" i="9"/>
  <c r="P94" i="9"/>
  <c r="N94" i="9"/>
  <c r="M94" i="9"/>
  <c r="L94" i="9"/>
  <c r="Z93" i="9"/>
  <c r="Y93" i="9"/>
  <c r="X93" i="9"/>
  <c r="V93" i="9"/>
  <c r="U93" i="9"/>
  <c r="T93" i="9"/>
  <c r="R93" i="9"/>
  <c r="Q93" i="9"/>
  <c r="P93" i="9"/>
  <c r="N93" i="9"/>
  <c r="M93" i="9"/>
  <c r="L93" i="9"/>
  <c r="Z92" i="9"/>
  <c r="Y92" i="9"/>
  <c r="X92" i="9"/>
  <c r="V92" i="9"/>
  <c r="U92" i="9"/>
  <c r="T92" i="9"/>
  <c r="R92" i="9"/>
  <c r="Q92" i="9"/>
  <c r="P92" i="9"/>
  <c r="N92" i="9"/>
  <c r="M92" i="9"/>
  <c r="L92" i="9"/>
  <c r="Z91" i="9"/>
  <c r="Y91" i="9"/>
  <c r="X91" i="9"/>
  <c r="V91" i="9"/>
  <c r="U91" i="9"/>
  <c r="T91" i="9"/>
  <c r="R91" i="9"/>
  <c r="Q91" i="9"/>
  <c r="P91" i="9"/>
  <c r="N91" i="9"/>
  <c r="M91" i="9"/>
  <c r="L91" i="9"/>
  <c r="Z90" i="9"/>
  <c r="Y90" i="9"/>
  <c r="X90" i="9"/>
  <c r="V90" i="9"/>
  <c r="U90" i="9"/>
  <c r="T90" i="9"/>
  <c r="R90" i="9"/>
  <c r="Q90" i="9"/>
  <c r="P90" i="9"/>
  <c r="N90" i="9"/>
  <c r="M90" i="9"/>
  <c r="L90" i="9"/>
  <c r="Z89" i="9"/>
  <c r="Y89" i="9"/>
  <c r="X89" i="9"/>
  <c r="V89" i="9"/>
  <c r="U89" i="9"/>
  <c r="T89" i="9"/>
  <c r="R89" i="9"/>
  <c r="Q89" i="9"/>
  <c r="P89" i="9"/>
  <c r="N89" i="9"/>
  <c r="M89" i="9"/>
  <c r="L89" i="9"/>
  <c r="Z88" i="9"/>
  <c r="Y88" i="9"/>
  <c r="X88" i="9"/>
  <c r="V88" i="9"/>
  <c r="U88" i="9"/>
  <c r="T88" i="9"/>
  <c r="R88" i="9"/>
  <c r="Q88" i="9"/>
  <c r="P88" i="9"/>
  <c r="N88" i="9"/>
  <c r="M88" i="9"/>
  <c r="L88" i="9"/>
  <c r="Z87" i="9"/>
  <c r="Y87" i="9"/>
  <c r="X87" i="9"/>
  <c r="V87" i="9"/>
  <c r="U87" i="9"/>
  <c r="T87" i="9"/>
  <c r="R87" i="9"/>
  <c r="Q87" i="9"/>
  <c r="P87" i="9"/>
  <c r="N87" i="9"/>
  <c r="M87" i="9"/>
  <c r="L87" i="9"/>
  <c r="Z86" i="9"/>
  <c r="Y86" i="9"/>
  <c r="X86" i="9"/>
  <c r="V86" i="9"/>
  <c r="U86" i="9"/>
  <c r="T86" i="9"/>
  <c r="R86" i="9"/>
  <c r="Q86" i="9"/>
  <c r="P86" i="9"/>
  <c r="N86" i="9"/>
  <c r="M86" i="9"/>
  <c r="L86" i="9"/>
  <c r="Z85" i="9"/>
  <c r="Y85" i="9"/>
  <c r="X85" i="9"/>
  <c r="V85" i="9"/>
  <c r="U85" i="9"/>
  <c r="T85" i="9"/>
  <c r="R85" i="9"/>
  <c r="Q85" i="9"/>
  <c r="P85" i="9"/>
  <c r="N85" i="9"/>
  <c r="M85" i="9"/>
  <c r="L85" i="9"/>
  <c r="Z84" i="9"/>
  <c r="Y84" i="9"/>
  <c r="X84" i="9"/>
  <c r="V84" i="9"/>
  <c r="U84" i="9"/>
  <c r="T84" i="9"/>
  <c r="R84" i="9"/>
  <c r="Q84" i="9"/>
  <c r="P84" i="9"/>
  <c r="N84" i="9"/>
  <c r="M84" i="9"/>
  <c r="L84" i="9"/>
  <c r="Z83" i="9"/>
  <c r="Y83" i="9"/>
  <c r="X83" i="9"/>
  <c r="V83" i="9"/>
  <c r="U83" i="9"/>
  <c r="T83" i="9"/>
  <c r="R83" i="9"/>
  <c r="Q83" i="9"/>
  <c r="P83" i="9"/>
  <c r="N83" i="9"/>
  <c r="M83" i="9"/>
  <c r="L83" i="9"/>
  <c r="Z82" i="9"/>
  <c r="Y82" i="9"/>
  <c r="X82" i="9"/>
  <c r="V82" i="9"/>
  <c r="U82" i="9"/>
  <c r="T82" i="9"/>
  <c r="R82" i="9"/>
  <c r="Q82" i="9"/>
  <c r="P82" i="9"/>
  <c r="N82" i="9"/>
  <c r="M82" i="9"/>
  <c r="L82" i="9"/>
  <c r="Z81" i="9"/>
  <c r="Y81" i="9"/>
  <c r="X81" i="9"/>
  <c r="V81" i="9"/>
  <c r="U81" i="9"/>
  <c r="T81" i="9"/>
  <c r="R81" i="9"/>
  <c r="Q81" i="9"/>
  <c r="P81" i="9"/>
  <c r="N81" i="9"/>
  <c r="M81" i="9"/>
  <c r="L81" i="9"/>
  <c r="Z80" i="9"/>
  <c r="Y80" i="9"/>
  <c r="X80" i="9"/>
  <c r="V80" i="9"/>
  <c r="U80" i="9"/>
  <c r="T80" i="9"/>
  <c r="R80" i="9"/>
  <c r="Q80" i="9"/>
  <c r="P80" i="9"/>
  <c r="N80" i="9"/>
  <c r="M80" i="9"/>
  <c r="L80" i="9"/>
  <c r="Z79" i="9"/>
  <c r="Y79" i="9"/>
  <c r="X79" i="9"/>
  <c r="V79" i="9"/>
  <c r="U79" i="9"/>
  <c r="T79" i="9"/>
  <c r="R79" i="9"/>
  <c r="Q79" i="9"/>
  <c r="P79" i="9"/>
  <c r="N79" i="9"/>
  <c r="M79" i="9"/>
  <c r="L79" i="9"/>
  <c r="Z78" i="9"/>
  <c r="Y78" i="9"/>
  <c r="X78" i="9"/>
  <c r="V78" i="9"/>
  <c r="U78" i="9"/>
  <c r="T78" i="9"/>
  <c r="R78" i="9"/>
  <c r="Q78" i="9"/>
  <c r="P78" i="9"/>
  <c r="N78" i="9"/>
  <c r="M78" i="9"/>
  <c r="L78" i="9"/>
  <c r="Z77" i="9"/>
  <c r="Y77" i="9"/>
  <c r="X77" i="9"/>
  <c r="V77" i="9"/>
  <c r="U77" i="9"/>
  <c r="T77" i="9"/>
  <c r="R77" i="9"/>
  <c r="Q77" i="9"/>
  <c r="P77" i="9"/>
  <c r="N77" i="9"/>
  <c r="M77" i="9"/>
  <c r="L77" i="9"/>
  <c r="Z76" i="9"/>
  <c r="Y76" i="9"/>
  <c r="X76" i="9"/>
  <c r="V76" i="9"/>
  <c r="U76" i="9"/>
  <c r="T76" i="9"/>
  <c r="R76" i="9"/>
  <c r="Q76" i="9"/>
  <c r="P76" i="9"/>
  <c r="N76" i="9"/>
  <c r="M76" i="9"/>
  <c r="L76" i="9"/>
  <c r="Z75" i="9"/>
  <c r="Y75" i="9"/>
  <c r="X75" i="9"/>
  <c r="V75" i="9"/>
  <c r="U75" i="9"/>
  <c r="T75" i="9"/>
  <c r="R75" i="9"/>
  <c r="Q75" i="9"/>
  <c r="P75" i="9"/>
  <c r="N75" i="9"/>
  <c r="M75" i="9"/>
  <c r="L75" i="9"/>
  <c r="Z74" i="9"/>
  <c r="Y74" i="9"/>
  <c r="X74" i="9"/>
  <c r="V74" i="9"/>
  <c r="U74" i="9"/>
  <c r="T74" i="9"/>
  <c r="R74" i="9"/>
  <c r="Q74" i="9"/>
  <c r="P74" i="9"/>
  <c r="N74" i="9"/>
  <c r="M74" i="9"/>
  <c r="L74" i="9"/>
  <c r="Z73" i="9"/>
  <c r="Y73" i="9"/>
  <c r="X73" i="9"/>
  <c r="V73" i="9"/>
  <c r="U73" i="9"/>
  <c r="T73" i="9"/>
  <c r="R73" i="9"/>
  <c r="Q73" i="9"/>
  <c r="P73" i="9"/>
  <c r="N73" i="9"/>
  <c r="M73" i="9"/>
  <c r="L73" i="9"/>
  <c r="Z72" i="9"/>
  <c r="Y72" i="9"/>
  <c r="X72" i="9"/>
  <c r="V72" i="9"/>
  <c r="U72" i="9"/>
  <c r="T72" i="9"/>
  <c r="R72" i="9"/>
  <c r="Q72" i="9"/>
  <c r="P72" i="9"/>
  <c r="N72" i="9"/>
  <c r="M72" i="9"/>
  <c r="L72" i="9"/>
  <c r="Z71" i="9"/>
  <c r="Y71" i="9"/>
  <c r="X71" i="9"/>
  <c r="V71" i="9"/>
  <c r="U71" i="9"/>
  <c r="T71" i="9"/>
  <c r="R71" i="9"/>
  <c r="Q71" i="9"/>
  <c r="P71" i="9"/>
  <c r="N71" i="9"/>
  <c r="M71" i="9"/>
  <c r="L71" i="9"/>
  <c r="Z70" i="9"/>
  <c r="Y70" i="9"/>
  <c r="X70" i="9"/>
  <c r="V70" i="9"/>
  <c r="U70" i="9"/>
  <c r="T70" i="9"/>
  <c r="R70" i="9"/>
  <c r="Q70" i="9"/>
  <c r="P70" i="9"/>
  <c r="N70" i="9"/>
  <c r="M70" i="9"/>
  <c r="L70" i="9"/>
  <c r="Z69" i="9"/>
  <c r="Y69" i="9"/>
  <c r="X69" i="9"/>
  <c r="V69" i="9"/>
  <c r="U69" i="9"/>
  <c r="T69" i="9"/>
  <c r="R69" i="9"/>
  <c r="Q69" i="9"/>
  <c r="P69" i="9"/>
  <c r="N69" i="9"/>
  <c r="M69" i="9"/>
  <c r="L69" i="9"/>
  <c r="Z68" i="9"/>
  <c r="Y68" i="9"/>
  <c r="X68" i="9"/>
  <c r="V68" i="9"/>
  <c r="U68" i="9"/>
  <c r="T68" i="9"/>
  <c r="R68" i="9"/>
  <c r="Q68" i="9"/>
  <c r="P68" i="9"/>
  <c r="N68" i="9"/>
  <c r="M68" i="9"/>
  <c r="L68" i="9"/>
  <c r="Z67" i="9"/>
  <c r="Y67" i="9"/>
  <c r="X67" i="9"/>
  <c r="V67" i="9"/>
  <c r="U67" i="9"/>
  <c r="T67" i="9"/>
  <c r="R67" i="9"/>
  <c r="Q67" i="9"/>
  <c r="P67" i="9"/>
  <c r="N67" i="9"/>
  <c r="M67" i="9"/>
  <c r="L67" i="9"/>
  <c r="Z66" i="9"/>
  <c r="Y66" i="9"/>
  <c r="X66" i="9"/>
  <c r="V66" i="9"/>
  <c r="U66" i="9"/>
  <c r="T66" i="9"/>
  <c r="R66" i="9"/>
  <c r="Q66" i="9"/>
  <c r="P66" i="9"/>
  <c r="N66" i="9"/>
  <c r="M66" i="9"/>
  <c r="L66" i="9"/>
  <c r="Z65" i="9"/>
  <c r="Y65" i="9"/>
  <c r="X65" i="9"/>
  <c r="V65" i="9"/>
  <c r="U65" i="9"/>
  <c r="T65" i="9"/>
  <c r="R65" i="9"/>
  <c r="Q65" i="9"/>
  <c r="P65" i="9"/>
  <c r="N65" i="9"/>
  <c r="M65" i="9"/>
  <c r="L65" i="9"/>
  <c r="Z64" i="9"/>
  <c r="Y64" i="9"/>
  <c r="X64" i="9"/>
  <c r="V64" i="9"/>
  <c r="U64" i="9"/>
  <c r="T64" i="9"/>
  <c r="R64" i="9"/>
  <c r="Q64" i="9"/>
  <c r="P64" i="9"/>
  <c r="N64" i="9"/>
  <c r="M64" i="9"/>
  <c r="L64" i="9"/>
  <c r="Z63" i="9"/>
  <c r="Y63" i="9"/>
  <c r="X63" i="9"/>
  <c r="V63" i="9"/>
  <c r="U63" i="9"/>
  <c r="T63" i="9"/>
  <c r="R63" i="9"/>
  <c r="Q63" i="9"/>
  <c r="P63" i="9"/>
  <c r="N63" i="9"/>
  <c r="M63" i="9"/>
  <c r="L63" i="9"/>
  <c r="Z62" i="9"/>
  <c r="Y62" i="9"/>
  <c r="X62" i="9"/>
  <c r="V62" i="9"/>
  <c r="U62" i="9"/>
  <c r="T62" i="9"/>
  <c r="R62" i="9"/>
  <c r="Q62" i="9"/>
  <c r="P62" i="9"/>
  <c r="N62" i="9"/>
  <c r="M62" i="9"/>
  <c r="L62" i="9"/>
  <c r="Z61" i="9"/>
  <c r="Y61" i="9"/>
  <c r="X61" i="9"/>
  <c r="V61" i="9"/>
  <c r="U61" i="9"/>
  <c r="T61" i="9"/>
  <c r="R61" i="9"/>
  <c r="Q61" i="9"/>
  <c r="P61" i="9"/>
  <c r="N61" i="9"/>
  <c r="M61" i="9"/>
  <c r="L61" i="9"/>
  <c r="Z60" i="9"/>
  <c r="Y60" i="9"/>
  <c r="X60" i="9"/>
  <c r="V60" i="9"/>
  <c r="U60" i="9"/>
  <c r="T60" i="9"/>
  <c r="R60" i="9"/>
  <c r="Q60" i="9"/>
  <c r="P60" i="9"/>
  <c r="N60" i="9"/>
  <c r="M60" i="9"/>
  <c r="L60" i="9"/>
  <c r="Z59" i="9"/>
  <c r="Y59" i="9"/>
  <c r="X59" i="9"/>
  <c r="V59" i="9"/>
  <c r="U59" i="9"/>
  <c r="T59" i="9"/>
  <c r="R59" i="9"/>
  <c r="Q59" i="9"/>
  <c r="P59" i="9"/>
  <c r="N59" i="9"/>
  <c r="M59" i="9"/>
  <c r="L59" i="9"/>
  <c r="Z58" i="9"/>
  <c r="Y58" i="9"/>
  <c r="X58" i="9"/>
  <c r="V58" i="9"/>
  <c r="U58" i="9"/>
  <c r="T58" i="9"/>
  <c r="R58" i="9"/>
  <c r="Q58" i="9"/>
  <c r="P58" i="9"/>
  <c r="N58" i="9"/>
  <c r="M58" i="9"/>
  <c r="L58" i="9"/>
  <c r="Z57" i="9"/>
  <c r="Y57" i="9"/>
  <c r="X57" i="9"/>
  <c r="V57" i="9"/>
  <c r="U57" i="9"/>
  <c r="T57" i="9"/>
  <c r="R57" i="9"/>
  <c r="Q57" i="9"/>
  <c r="P57" i="9"/>
  <c r="N57" i="9"/>
  <c r="M57" i="9"/>
  <c r="L57" i="9"/>
  <c r="Z56" i="9"/>
  <c r="Y56" i="9"/>
  <c r="X56" i="9"/>
  <c r="V56" i="9"/>
  <c r="U56" i="9"/>
  <c r="T56" i="9"/>
  <c r="R56" i="9"/>
  <c r="Q56" i="9"/>
  <c r="P56" i="9"/>
  <c r="N56" i="9"/>
  <c r="M56" i="9"/>
  <c r="L56" i="9"/>
  <c r="Z55" i="9"/>
  <c r="Y55" i="9"/>
  <c r="X55" i="9"/>
  <c r="V55" i="9"/>
  <c r="U55" i="9"/>
  <c r="T55" i="9"/>
  <c r="R55" i="9"/>
  <c r="Q55" i="9"/>
  <c r="P55" i="9"/>
  <c r="N55" i="9"/>
  <c r="M55" i="9"/>
  <c r="L55" i="9"/>
  <c r="Z54" i="9"/>
  <c r="Y54" i="9"/>
  <c r="X54" i="9"/>
  <c r="V54" i="9"/>
  <c r="U54" i="9"/>
  <c r="T54" i="9"/>
  <c r="R54" i="9"/>
  <c r="Q54" i="9"/>
  <c r="P54" i="9"/>
  <c r="N54" i="9"/>
  <c r="M54" i="9"/>
  <c r="L54" i="9"/>
  <c r="Z53" i="9"/>
  <c r="Y53" i="9"/>
  <c r="X53" i="9"/>
  <c r="V53" i="9"/>
  <c r="U53" i="9"/>
  <c r="T53" i="9"/>
  <c r="R53" i="9"/>
  <c r="Q53" i="9"/>
  <c r="P53" i="9"/>
  <c r="N53" i="9"/>
  <c r="M53" i="9"/>
  <c r="L53" i="9"/>
  <c r="Z52" i="9"/>
  <c r="Y52" i="9"/>
  <c r="X52" i="9"/>
  <c r="V52" i="9"/>
  <c r="U52" i="9"/>
  <c r="T52" i="9"/>
  <c r="R52" i="9"/>
  <c r="Q52" i="9"/>
  <c r="P52" i="9"/>
  <c r="N52" i="9"/>
  <c r="M52" i="9"/>
  <c r="L52" i="9"/>
  <c r="Z51" i="9"/>
  <c r="Y51" i="9"/>
  <c r="X51" i="9"/>
  <c r="V51" i="9"/>
  <c r="U51" i="9"/>
  <c r="T51" i="9"/>
  <c r="R51" i="9"/>
  <c r="Q51" i="9"/>
  <c r="P51" i="9"/>
  <c r="N51" i="9"/>
  <c r="M51" i="9"/>
  <c r="L51" i="9"/>
  <c r="Z50" i="9"/>
  <c r="Y50" i="9"/>
  <c r="X50" i="9"/>
  <c r="V50" i="9"/>
  <c r="U50" i="9"/>
  <c r="T50" i="9"/>
  <c r="R50" i="9"/>
  <c r="Q50" i="9"/>
  <c r="P50" i="9"/>
  <c r="N50" i="9"/>
  <c r="M50" i="9"/>
  <c r="L50" i="9"/>
  <c r="Z49" i="9"/>
  <c r="Y49" i="9"/>
  <c r="X49" i="9"/>
  <c r="V49" i="9"/>
  <c r="U49" i="9"/>
  <c r="T49" i="9"/>
  <c r="R49" i="9"/>
  <c r="Q49" i="9"/>
  <c r="P49" i="9"/>
  <c r="N49" i="9"/>
  <c r="M49" i="9"/>
  <c r="L49" i="9"/>
  <c r="Z48" i="9"/>
  <c r="Y48" i="9"/>
  <c r="X48" i="9"/>
  <c r="V48" i="9"/>
  <c r="U48" i="9"/>
  <c r="T48" i="9"/>
  <c r="R48" i="9"/>
  <c r="Q48" i="9"/>
  <c r="P48" i="9"/>
  <c r="N48" i="9"/>
  <c r="M48" i="9"/>
  <c r="L48" i="9"/>
  <c r="Z47" i="9"/>
  <c r="Y47" i="9"/>
  <c r="X47" i="9"/>
  <c r="V47" i="9"/>
  <c r="U47" i="9"/>
  <c r="T47" i="9"/>
  <c r="R47" i="9"/>
  <c r="Q47" i="9"/>
  <c r="P47" i="9"/>
  <c r="N47" i="9"/>
  <c r="M47" i="9"/>
  <c r="L47" i="9"/>
  <c r="Z46" i="9"/>
  <c r="Y46" i="9"/>
  <c r="X46" i="9"/>
  <c r="V46" i="9"/>
  <c r="U46" i="9"/>
  <c r="T46" i="9"/>
  <c r="R46" i="9"/>
  <c r="Q46" i="9"/>
  <c r="P46" i="9"/>
  <c r="N46" i="9"/>
  <c r="M46" i="9"/>
  <c r="L46" i="9"/>
  <c r="Z45" i="9"/>
  <c r="Y45" i="9"/>
  <c r="X45" i="9"/>
  <c r="V45" i="9"/>
  <c r="U45" i="9"/>
  <c r="T45" i="9"/>
  <c r="R45" i="9"/>
  <c r="Q45" i="9"/>
  <c r="P45" i="9"/>
  <c r="N45" i="9"/>
  <c r="M45" i="9"/>
  <c r="L45" i="9"/>
  <c r="Z44" i="9"/>
  <c r="Y44" i="9"/>
  <c r="X44" i="9"/>
  <c r="V44" i="9"/>
  <c r="U44" i="9"/>
  <c r="T44" i="9"/>
  <c r="R44" i="9"/>
  <c r="Q44" i="9"/>
  <c r="P44" i="9"/>
  <c r="N44" i="9"/>
  <c r="M44" i="9"/>
  <c r="L44" i="9"/>
  <c r="Z43" i="9"/>
  <c r="Y43" i="9"/>
  <c r="X43" i="9"/>
  <c r="V43" i="9"/>
  <c r="U43" i="9"/>
  <c r="T43" i="9"/>
  <c r="R43" i="9"/>
  <c r="Q43" i="9"/>
  <c r="P43" i="9"/>
  <c r="N43" i="9"/>
  <c r="M43" i="9"/>
  <c r="L43" i="9"/>
  <c r="Z42" i="9"/>
  <c r="Y42" i="9"/>
  <c r="X42" i="9"/>
  <c r="V42" i="9"/>
  <c r="U42" i="9"/>
  <c r="T42" i="9"/>
  <c r="R42" i="9"/>
  <c r="Q42" i="9"/>
  <c r="P42" i="9"/>
  <c r="N42" i="9"/>
  <c r="M42" i="9"/>
  <c r="L42" i="9"/>
  <c r="Z41" i="9"/>
  <c r="Y41" i="9"/>
  <c r="X41" i="9"/>
  <c r="V41" i="9"/>
  <c r="U41" i="9"/>
  <c r="T41" i="9"/>
  <c r="R41" i="9"/>
  <c r="Q41" i="9"/>
  <c r="P41" i="9"/>
  <c r="N41" i="9"/>
  <c r="M41" i="9"/>
  <c r="L41" i="9"/>
  <c r="Z40" i="9"/>
  <c r="Y40" i="9"/>
  <c r="X40" i="9"/>
  <c r="V40" i="9"/>
  <c r="U40" i="9"/>
  <c r="T40" i="9"/>
  <c r="R40" i="9"/>
  <c r="Q40" i="9"/>
  <c r="P40" i="9"/>
  <c r="N40" i="9"/>
  <c r="M40" i="9"/>
  <c r="L40" i="9"/>
  <c r="Z39" i="9"/>
  <c r="Y39" i="9"/>
  <c r="X39" i="9"/>
  <c r="V39" i="9"/>
  <c r="U39" i="9"/>
  <c r="T39" i="9"/>
  <c r="R39" i="9"/>
  <c r="Q39" i="9"/>
  <c r="P39" i="9"/>
  <c r="N39" i="9"/>
  <c r="M39" i="9"/>
  <c r="L39" i="9"/>
  <c r="Z38" i="9"/>
  <c r="Y38" i="9"/>
  <c r="X38" i="9"/>
  <c r="V38" i="9"/>
  <c r="U38" i="9"/>
  <c r="T38" i="9"/>
  <c r="R38" i="9"/>
  <c r="Q38" i="9"/>
  <c r="P38" i="9"/>
  <c r="N38" i="9"/>
  <c r="M38" i="9"/>
  <c r="L38" i="9"/>
  <c r="Z37" i="9"/>
  <c r="Y37" i="9"/>
  <c r="X37" i="9"/>
  <c r="V37" i="9"/>
  <c r="U37" i="9"/>
  <c r="T37" i="9"/>
  <c r="R37" i="9"/>
  <c r="Q37" i="9"/>
  <c r="P37" i="9"/>
  <c r="N37" i="9"/>
  <c r="M37" i="9"/>
  <c r="L37" i="9"/>
  <c r="Z36" i="9"/>
  <c r="Y36" i="9"/>
  <c r="X36" i="9"/>
  <c r="V36" i="9"/>
  <c r="U36" i="9"/>
  <c r="T36" i="9"/>
  <c r="R36" i="9"/>
  <c r="Q36" i="9"/>
  <c r="P36" i="9"/>
  <c r="N36" i="9"/>
  <c r="M36" i="9"/>
  <c r="L36" i="9"/>
  <c r="Z35" i="9"/>
  <c r="Y35" i="9"/>
  <c r="X35" i="9"/>
  <c r="V35" i="9"/>
  <c r="U35" i="9"/>
  <c r="T35" i="9"/>
  <c r="R35" i="9"/>
  <c r="Q35" i="9"/>
  <c r="P35" i="9"/>
  <c r="N35" i="9"/>
  <c r="M35" i="9"/>
  <c r="L35" i="9"/>
  <c r="Z34" i="9"/>
  <c r="Y34" i="9"/>
  <c r="X34" i="9"/>
  <c r="V34" i="9"/>
  <c r="U34" i="9"/>
  <c r="T34" i="9"/>
  <c r="R34" i="9"/>
  <c r="Q34" i="9"/>
  <c r="P34" i="9"/>
  <c r="N34" i="9"/>
  <c r="M34" i="9"/>
  <c r="L34" i="9"/>
  <c r="Z33" i="9"/>
  <c r="Y33" i="9"/>
  <c r="X33" i="9"/>
  <c r="V33" i="9"/>
  <c r="U33" i="9"/>
  <c r="T33" i="9"/>
  <c r="R33" i="9"/>
  <c r="Q33" i="9"/>
  <c r="P33" i="9"/>
  <c r="N33" i="9"/>
  <c r="M33" i="9"/>
  <c r="L33" i="9"/>
  <c r="Z32" i="9"/>
  <c r="Y32" i="9"/>
  <c r="X32" i="9"/>
  <c r="V32" i="9"/>
  <c r="U32" i="9"/>
  <c r="T32" i="9"/>
  <c r="R32" i="9"/>
  <c r="Q32" i="9"/>
  <c r="P32" i="9"/>
  <c r="N32" i="9"/>
  <c r="M32" i="9"/>
  <c r="L32" i="9"/>
  <c r="Z31" i="9"/>
  <c r="Y31" i="9"/>
  <c r="X31" i="9"/>
  <c r="V31" i="9"/>
  <c r="U31" i="9"/>
  <c r="T31" i="9"/>
  <c r="R31" i="9"/>
  <c r="Q31" i="9"/>
  <c r="P31" i="9"/>
  <c r="N31" i="9"/>
  <c r="M31" i="9"/>
  <c r="L31" i="9"/>
  <c r="Z30" i="9"/>
  <c r="Y30" i="9"/>
  <c r="X30" i="9"/>
  <c r="V30" i="9"/>
  <c r="U30" i="9"/>
  <c r="T30" i="9"/>
  <c r="R30" i="9"/>
  <c r="Q30" i="9"/>
  <c r="P30" i="9"/>
  <c r="N30" i="9"/>
  <c r="M30" i="9"/>
  <c r="L30" i="9"/>
  <c r="Z29" i="9"/>
  <c r="Y29" i="9"/>
  <c r="X29" i="9"/>
  <c r="V29" i="9"/>
  <c r="U29" i="9"/>
  <c r="T29" i="9"/>
  <c r="R29" i="9"/>
  <c r="Q29" i="9"/>
  <c r="P29" i="9"/>
  <c r="N29" i="9"/>
  <c r="M29" i="9"/>
  <c r="L29" i="9"/>
  <c r="Z28" i="9"/>
  <c r="Y28" i="9"/>
  <c r="X28" i="9"/>
  <c r="V28" i="9"/>
  <c r="U28" i="9"/>
  <c r="T28" i="9"/>
  <c r="R28" i="9"/>
  <c r="Q28" i="9"/>
  <c r="P28" i="9"/>
  <c r="N28" i="9"/>
  <c r="M28" i="9"/>
  <c r="L28" i="9"/>
  <c r="Z27" i="9"/>
  <c r="Y27" i="9"/>
  <c r="X27" i="9"/>
  <c r="V27" i="9"/>
  <c r="U27" i="9"/>
  <c r="T27" i="9"/>
  <c r="R27" i="9"/>
  <c r="Q27" i="9"/>
  <c r="P27" i="9"/>
  <c r="N27" i="9"/>
  <c r="M27" i="9"/>
  <c r="L27" i="9"/>
  <c r="Z26" i="9"/>
  <c r="Y26" i="9"/>
  <c r="X26" i="9"/>
  <c r="V26" i="9"/>
  <c r="U26" i="9"/>
  <c r="T26" i="9"/>
  <c r="R26" i="9"/>
  <c r="Q26" i="9"/>
  <c r="P26" i="9"/>
  <c r="N26" i="9"/>
  <c r="M26" i="9"/>
  <c r="L26" i="9"/>
  <c r="Z25" i="9"/>
  <c r="Y25" i="9"/>
  <c r="X25" i="9"/>
  <c r="V25" i="9"/>
  <c r="U25" i="9"/>
  <c r="T25" i="9"/>
  <c r="R25" i="9"/>
  <c r="Q25" i="9"/>
  <c r="P25" i="9"/>
  <c r="N25" i="9"/>
  <c r="M25" i="9"/>
  <c r="L25" i="9"/>
  <c r="Z24" i="9"/>
  <c r="Y24" i="9"/>
  <c r="X24" i="9"/>
  <c r="V24" i="9"/>
  <c r="U24" i="9"/>
  <c r="T24" i="9"/>
  <c r="R24" i="9"/>
  <c r="Q24" i="9"/>
  <c r="P24" i="9"/>
  <c r="N24" i="9"/>
  <c r="M24" i="9"/>
  <c r="L24" i="9"/>
  <c r="Z23" i="9"/>
  <c r="Y23" i="9"/>
  <c r="X23" i="9"/>
  <c r="V23" i="9"/>
  <c r="U23" i="9"/>
  <c r="T23" i="9"/>
  <c r="R23" i="9"/>
  <c r="Q23" i="9"/>
  <c r="P23" i="9"/>
  <c r="N23" i="9"/>
  <c r="M23" i="9"/>
  <c r="L23" i="9"/>
  <c r="Z22" i="9"/>
  <c r="Y22" i="9"/>
  <c r="X22" i="9"/>
  <c r="V22" i="9"/>
  <c r="U22" i="9"/>
  <c r="T22" i="9"/>
  <c r="R22" i="9"/>
  <c r="Q22" i="9"/>
  <c r="P22" i="9"/>
  <c r="N22" i="9"/>
  <c r="M22" i="9"/>
  <c r="L22" i="9"/>
  <c r="Z21" i="9"/>
  <c r="Y21" i="9"/>
  <c r="X21" i="9"/>
  <c r="V21" i="9"/>
  <c r="U21" i="9"/>
  <c r="T21" i="9"/>
  <c r="R21" i="9"/>
  <c r="Q21" i="9"/>
  <c r="P21" i="9"/>
  <c r="N21" i="9"/>
  <c r="M21" i="9"/>
  <c r="L21" i="9"/>
  <c r="Z20" i="9"/>
  <c r="Y20" i="9"/>
  <c r="X20" i="9"/>
  <c r="V20" i="9"/>
  <c r="U20" i="9"/>
  <c r="T20" i="9"/>
  <c r="R20" i="9"/>
  <c r="Q20" i="9"/>
  <c r="P20" i="9"/>
  <c r="N20" i="9"/>
  <c r="M20" i="9"/>
  <c r="L20" i="9"/>
  <c r="Z19" i="9"/>
  <c r="Y19" i="9"/>
  <c r="X19" i="9"/>
  <c r="V19" i="9"/>
  <c r="U19" i="9"/>
  <c r="T19" i="9"/>
  <c r="R19" i="9"/>
  <c r="Q19" i="9"/>
  <c r="P19" i="9"/>
  <c r="N19" i="9"/>
  <c r="M19" i="9"/>
  <c r="L19" i="9"/>
  <c r="Z18" i="9"/>
  <c r="Y18" i="9"/>
  <c r="X18" i="9"/>
  <c r="V18" i="9"/>
  <c r="U18" i="9"/>
  <c r="T18" i="9"/>
  <c r="R18" i="9"/>
  <c r="Q18" i="9"/>
  <c r="P18" i="9"/>
  <c r="N18" i="9"/>
  <c r="M18" i="9"/>
  <c r="L18" i="9"/>
  <c r="Z17" i="9"/>
  <c r="Y17" i="9"/>
  <c r="X17" i="9"/>
  <c r="V17" i="9"/>
  <c r="U17" i="9"/>
  <c r="T17" i="9"/>
  <c r="R17" i="9"/>
  <c r="Q17" i="9"/>
  <c r="P17" i="9"/>
  <c r="N17" i="9"/>
  <c r="M17" i="9"/>
  <c r="L17" i="9"/>
  <c r="Z16" i="9"/>
  <c r="Y16" i="9"/>
  <c r="X16" i="9"/>
  <c r="V16" i="9"/>
  <c r="U16" i="9"/>
  <c r="T16" i="9"/>
  <c r="R16" i="9"/>
  <c r="Q16" i="9"/>
  <c r="P16" i="9"/>
  <c r="N16" i="9"/>
  <c r="M16" i="9"/>
  <c r="L16" i="9"/>
  <c r="Z15" i="9"/>
  <c r="Y15" i="9"/>
  <c r="X15" i="9"/>
  <c r="V15" i="9"/>
  <c r="U15" i="9"/>
  <c r="T15" i="9"/>
  <c r="R15" i="9"/>
  <c r="Q15" i="9"/>
  <c r="P15" i="9"/>
  <c r="N15" i="9"/>
  <c r="M15" i="9"/>
  <c r="L15" i="9"/>
  <c r="Z14" i="9"/>
  <c r="Y14" i="9"/>
  <c r="X14" i="9"/>
  <c r="V14" i="9"/>
  <c r="U14" i="9"/>
  <c r="T14" i="9"/>
  <c r="R14" i="9"/>
  <c r="Q14" i="9"/>
  <c r="P14" i="9"/>
  <c r="N14" i="9"/>
  <c r="M14" i="9"/>
  <c r="L14" i="9"/>
  <c r="Z13" i="9"/>
  <c r="Y13" i="9"/>
  <c r="X13" i="9"/>
  <c r="V13" i="9"/>
  <c r="U13" i="9"/>
  <c r="T13" i="9"/>
  <c r="R13" i="9"/>
  <c r="Q13" i="9"/>
  <c r="P13" i="9"/>
  <c r="N13" i="9"/>
  <c r="M13" i="9"/>
  <c r="L13" i="9"/>
  <c r="Z12" i="9"/>
  <c r="Y12" i="9"/>
  <c r="X12" i="9"/>
  <c r="V12" i="9"/>
  <c r="U12" i="9"/>
  <c r="T12" i="9"/>
  <c r="R12" i="9"/>
  <c r="Q12" i="9"/>
  <c r="P12" i="9"/>
  <c r="N12" i="9"/>
  <c r="M12" i="9"/>
  <c r="L12" i="9"/>
  <c r="Z11" i="9"/>
  <c r="Y11" i="9"/>
  <c r="X11" i="9"/>
  <c r="V11" i="9"/>
  <c r="U11" i="9"/>
  <c r="T11" i="9"/>
  <c r="R11" i="9"/>
  <c r="Q11" i="9"/>
  <c r="P11" i="9"/>
  <c r="N11" i="9"/>
  <c r="M11" i="9"/>
  <c r="L11" i="9"/>
  <c r="Z10" i="9"/>
  <c r="Y10" i="9"/>
  <c r="X10" i="9"/>
  <c r="V10" i="9"/>
  <c r="U10" i="9"/>
  <c r="T10" i="9"/>
  <c r="R10" i="9"/>
  <c r="Q10" i="9"/>
  <c r="P10" i="9"/>
  <c r="N10" i="9"/>
  <c r="M10" i="9"/>
  <c r="L10" i="9"/>
  <c r="Z9" i="9"/>
  <c r="Y9" i="9"/>
  <c r="X9" i="9"/>
  <c r="V9" i="9"/>
  <c r="U9" i="9"/>
  <c r="T9" i="9"/>
  <c r="R9" i="9"/>
  <c r="Q9" i="9"/>
  <c r="P9" i="9"/>
  <c r="N9" i="9"/>
  <c r="M9" i="9"/>
  <c r="L9" i="9"/>
  <c r="Z8" i="9"/>
  <c r="Y8" i="9"/>
  <c r="X8" i="9"/>
  <c r="V8" i="9"/>
  <c r="U8" i="9"/>
  <c r="T8" i="9"/>
  <c r="R8" i="9"/>
  <c r="Q8" i="9"/>
  <c r="P8" i="9"/>
  <c r="N8" i="9"/>
  <c r="M8" i="9"/>
  <c r="L8" i="9"/>
  <c r="Z7" i="9"/>
  <c r="Y7" i="9"/>
  <c r="X7" i="9"/>
  <c r="V7" i="9"/>
  <c r="U7" i="9"/>
  <c r="T7" i="9"/>
  <c r="R7" i="9"/>
  <c r="Q7" i="9"/>
  <c r="P7" i="9"/>
  <c r="N7" i="9"/>
  <c r="M7" i="9"/>
  <c r="L7" i="9"/>
  <c r="Z6" i="9"/>
  <c r="Y6" i="9"/>
  <c r="X6" i="9"/>
  <c r="V6" i="9"/>
  <c r="U6" i="9"/>
  <c r="T6" i="9"/>
  <c r="R6" i="9"/>
  <c r="Q6" i="9"/>
  <c r="P6" i="9"/>
  <c r="N6" i="9"/>
  <c r="M6" i="9"/>
  <c r="L6" i="9"/>
  <c r="Z5" i="9"/>
  <c r="Y5" i="9"/>
  <c r="X5" i="9"/>
  <c r="V5" i="9"/>
  <c r="U5" i="9"/>
  <c r="T5" i="9"/>
  <c r="R5" i="9"/>
  <c r="Q5" i="9"/>
  <c r="P5" i="9"/>
  <c r="N5" i="9"/>
  <c r="M5" i="9"/>
  <c r="L5" i="9"/>
  <c r="Z4" i="9"/>
  <c r="Y4" i="9"/>
  <c r="X4" i="9"/>
  <c r="V4" i="9"/>
  <c r="U4" i="9"/>
  <c r="T4" i="9"/>
  <c r="R4" i="9"/>
  <c r="Q4" i="9"/>
  <c r="P4" i="9"/>
  <c r="N4" i="9"/>
  <c r="M4" i="9"/>
  <c r="L4" i="9"/>
  <c r="Z3" i="9"/>
  <c r="Y3" i="9"/>
  <c r="V3" i="9"/>
  <c r="U3" i="9"/>
  <c r="R3" i="9"/>
  <c r="Q3" i="9"/>
  <c r="N3" i="9"/>
  <c r="M3" i="9"/>
  <c r="X3" i="9"/>
  <c r="T3" i="9"/>
  <c r="P3" i="9"/>
  <c r="J132" i="9"/>
  <c r="J131" i="9"/>
  <c r="J130" i="9"/>
  <c r="J129" i="9"/>
  <c r="J128" i="9"/>
  <c r="J127" i="9"/>
  <c r="J126" i="9"/>
  <c r="J125" i="9"/>
  <c r="J124" i="9"/>
  <c r="J123" i="9"/>
  <c r="J122" i="9"/>
  <c r="J121" i="9"/>
  <c r="J120" i="9"/>
  <c r="J119" i="9"/>
  <c r="J118" i="9"/>
  <c r="J117" i="9"/>
  <c r="J116" i="9"/>
  <c r="J115" i="9"/>
  <c r="J114" i="9"/>
  <c r="J113" i="9"/>
  <c r="J112" i="9"/>
  <c r="J111" i="9"/>
  <c r="J110" i="9"/>
  <c r="J109" i="9"/>
  <c r="J108" i="9"/>
  <c r="J107" i="9"/>
  <c r="J106" i="9"/>
  <c r="J105" i="9"/>
  <c r="J104" i="9"/>
  <c r="J103" i="9"/>
  <c r="J102" i="9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J3" i="9"/>
  <c r="L3" i="9"/>
  <c r="I132" i="9"/>
  <c r="I131" i="9"/>
  <c r="I130" i="9"/>
  <c r="I129" i="9"/>
  <c r="I128" i="9"/>
  <c r="I127" i="9"/>
  <c r="I126" i="9"/>
  <c r="I125" i="9"/>
  <c r="I124" i="9"/>
  <c r="I123" i="9"/>
  <c r="I122" i="9"/>
  <c r="I121" i="9"/>
  <c r="I120" i="9"/>
  <c r="I119" i="9"/>
  <c r="I118" i="9"/>
  <c r="I117" i="9"/>
  <c r="I116" i="9"/>
  <c r="I115" i="9"/>
  <c r="I114" i="9"/>
  <c r="I113" i="9"/>
  <c r="I112" i="9"/>
  <c r="I111" i="9"/>
  <c r="I110" i="9"/>
  <c r="I109" i="9"/>
  <c r="I108" i="9"/>
  <c r="I107" i="9"/>
  <c r="I106" i="9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I3" i="9"/>
  <c r="G135" i="9"/>
  <c r="F135" i="9"/>
  <c r="E135" i="9"/>
  <c r="G134" i="9"/>
  <c r="F134" i="9"/>
  <c r="E134" i="9"/>
  <c r="G133" i="9"/>
  <c r="F133" i="9"/>
  <c r="E133" i="9"/>
  <c r="G132" i="9"/>
  <c r="F132" i="9"/>
  <c r="E132" i="9"/>
  <c r="G131" i="9"/>
  <c r="F131" i="9"/>
  <c r="E131" i="9"/>
  <c r="G130" i="9"/>
  <c r="F130" i="9"/>
  <c r="E130" i="9"/>
  <c r="G129" i="9"/>
  <c r="F129" i="9"/>
  <c r="E129" i="9"/>
  <c r="G128" i="9"/>
  <c r="F128" i="9"/>
  <c r="E128" i="9"/>
  <c r="G127" i="9"/>
  <c r="F127" i="9"/>
  <c r="E127" i="9"/>
  <c r="G126" i="9"/>
  <c r="F126" i="9"/>
  <c r="E126" i="9"/>
  <c r="G125" i="9"/>
  <c r="F125" i="9"/>
  <c r="E125" i="9"/>
  <c r="G124" i="9"/>
  <c r="F124" i="9"/>
  <c r="E124" i="9"/>
  <c r="G123" i="9"/>
  <c r="F123" i="9"/>
  <c r="E123" i="9"/>
  <c r="G122" i="9"/>
  <c r="F122" i="9"/>
  <c r="E122" i="9"/>
  <c r="G121" i="9"/>
  <c r="F121" i="9"/>
  <c r="E121" i="9"/>
  <c r="G120" i="9"/>
  <c r="F120" i="9"/>
  <c r="E120" i="9"/>
  <c r="G119" i="9"/>
  <c r="F119" i="9"/>
  <c r="E119" i="9"/>
  <c r="G118" i="9"/>
  <c r="F118" i="9"/>
  <c r="E118" i="9"/>
  <c r="G117" i="9"/>
  <c r="F117" i="9"/>
  <c r="E117" i="9"/>
  <c r="G116" i="9"/>
  <c r="F116" i="9"/>
  <c r="E116" i="9"/>
  <c r="G115" i="9"/>
  <c r="F115" i="9"/>
  <c r="E115" i="9"/>
  <c r="G114" i="9"/>
  <c r="F114" i="9"/>
  <c r="E114" i="9"/>
  <c r="G113" i="9"/>
  <c r="F113" i="9"/>
  <c r="E113" i="9"/>
  <c r="G112" i="9"/>
  <c r="F112" i="9"/>
  <c r="E112" i="9"/>
  <c r="G111" i="9"/>
  <c r="F111" i="9"/>
  <c r="E111" i="9"/>
  <c r="G110" i="9"/>
  <c r="F110" i="9"/>
  <c r="E110" i="9"/>
  <c r="G109" i="9"/>
  <c r="F109" i="9"/>
  <c r="E109" i="9"/>
  <c r="G108" i="9"/>
  <c r="F108" i="9"/>
  <c r="E108" i="9"/>
  <c r="G107" i="9"/>
  <c r="F107" i="9"/>
  <c r="E107" i="9"/>
  <c r="G106" i="9"/>
  <c r="F106" i="9"/>
  <c r="E106" i="9"/>
  <c r="G105" i="9"/>
  <c r="F105" i="9"/>
  <c r="E105" i="9"/>
  <c r="G104" i="9"/>
  <c r="F104" i="9"/>
  <c r="E104" i="9"/>
  <c r="G103" i="9"/>
  <c r="F103" i="9"/>
  <c r="E103" i="9"/>
  <c r="G102" i="9"/>
  <c r="F102" i="9"/>
  <c r="E102" i="9"/>
  <c r="G101" i="9"/>
  <c r="F101" i="9"/>
  <c r="E101" i="9"/>
  <c r="G100" i="9"/>
  <c r="F100" i="9"/>
  <c r="E100" i="9"/>
  <c r="G99" i="9"/>
  <c r="F99" i="9"/>
  <c r="E99" i="9"/>
  <c r="G98" i="9"/>
  <c r="F98" i="9"/>
  <c r="E98" i="9"/>
  <c r="G97" i="9"/>
  <c r="F97" i="9"/>
  <c r="E97" i="9"/>
  <c r="G96" i="9"/>
  <c r="F96" i="9"/>
  <c r="E96" i="9"/>
  <c r="G95" i="9"/>
  <c r="F95" i="9"/>
  <c r="E95" i="9"/>
  <c r="G94" i="9"/>
  <c r="F94" i="9"/>
  <c r="E94" i="9"/>
  <c r="G93" i="9"/>
  <c r="F93" i="9"/>
  <c r="E93" i="9"/>
  <c r="G92" i="9"/>
  <c r="F92" i="9"/>
  <c r="E92" i="9"/>
  <c r="G91" i="9"/>
  <c r="F91" i="9"/>
  <c r="E91" i="9"/>
  <c r="G90" i="9"/>
  <c r="F90" i="9"/>
  <c r="E90" i="9"/>
  <c r="G89" i="9"/>
  <c r="F89" i="9"/>
  <c r="E89" i="9"/>
  <c r="G88" i="9"/>
  <c r="F88" i="9"/>
  <c r="E88" i="9"/>
  <c r="G87" i="9"/>
  <c r="F87" i="9"/>
  <c r="E87" i="9"/>
  <c r="G86" i="9"/>
  <c r="F86" i="9"/>
  <c r="E86" i="9"/>
  <c r="G85" i="9"/>
  <c r="F85" i="9"/>
  <c r="E85" i="9"/>
  <c r="G84" i="9"/>
  <c r="F84" i="9"/>
  <c r="E84" i="9"/>
  <c r="G83" i="9"/>
  <c r="F83" i="9"/>
  <c r="E83" i="9"/>
  <c r="G82" i="9"/>
  <c r="F82" i="9"/>
  <c r="E82" i="9"/>
  <c r="G81" i="9"/>
  <c r="F81" i="9"/>
  <c r="E81" i="9"/>
  <c r="G80" i="9"/>
  <c r="F80" i="9"/>
  <c r="E80" i="9"/>
  <c r="G79" i="9"/>
  <c r="F79" i="9"/>
  <c r="E79" i="9"/>
  <c r="G78" i="9"/>
  <c r="F78" i="9"/>
  <c r="E78" i="9"/>
  <c r="G77" i="9"/>
  <c r="F77" i="9"/>
  <c r="E77" i="9"/>
  <c r="G76" i="9"/>
  <c r="F76" i="9"/>
  <c r="E76" i="9"/>
  <c r="G75" i="9"/>
  <c r="F75" i="9"/>
  <c r="E75" i="9"/>
  <c r="G74" i="9"/>
  <c r="F74" i="9"/>
  <c r="E74" i="9"/>
  <c r="G73" i="9"/>
  <c r="F73" i="9"/>
  <c r="E73" i="9"/>
  <c r="G72" i="9"/>
  <c r="F72" i="9"/>
  <c r="E72" i="9"/>
  <c r="G71" i="9"/>
  <c r="F71" i="9"/>
  <c r="E71" i="9"/>
  <c r="G70" i="9"/>
  <c r="F70" i="9"/>
  <c r="E70" i="9"/>
  <c r="G69" i="9"/>
  <c r="F69" i="9"/>
  <c r="E69" i="9"/>
  <c r="G68" i="9"/>
  <c r="F68" i="9"/>
  <c r="E68" i="9"/>
  <c r="G67" i="9"/>
  <c r="F67" i="9"/>
  <c r="E67" i="9"/>
  <c r="G66" i="9"/>
  <c r="F66" i="9"/>
  <c r="E66" i="9"/>
  <c r="G65" i="9"/>
  <c r="F65" i="9"/>
  <c r="E65" i="9"/>
  <c r="G64" i="9"/>
  <c r="F64" i="9"/>
  <c r="E64" i="9"/>
  <c r="G63" i="9"/>
  <c r="F63" i="9"/>
  <c r="E63" i="9"/>
  <c r="G62" i="9"/>
  <c r="F62" i="9"/>
  <c r="E62" i="9"/>
  <c r="G61" i="9"/>
  <c r="F61" i="9"/>
  <c r="E61" i="9"/>
  <c r="G60" i="9"/>
  <c r="F60" i="9"/>
  <c r="E60" i="9"/>
  <c r="G59" i="9"/>
  <c r="F59" i="9"/>
  <c r="E59" i="9"/>
  <c r="G58" i="9"/>
  <c r="F58" i="9"/>
  <c r="E58" i="9"/>
  <c r="G57" i="9"/>
  <c r="F57" i="9"/>
  <c r="E57" i="9"/>
  <c r="G56" i="9"/>
  <c r="F56" i="9"/>
  <c r="E56" i="9"/>
  <c r="G55" i="9"/>
  <c r="F55" i="9"/>
  <c r="E55" i="9"/>
  <c r="G54" i="9"/>
  <c r="F54" i="9"/>
  <c r="E54" i="9"/>
  <c r="G53" i="9"/>
  <c r="F53" i="9"/>
  <c r="E53" i="9"/>
  <c r="G52" i="9"/>
  <c r="F52" i="9"/>
  <c r="E52" i="9"/>
  <c r="G51" i="9"/>
  <c r="F51" i="9"/>
  <c r="E51" i="9"/>
  <c r="G50" i="9"/>
  <c r="F50" i="9"/>
  <c r="E50" i="9"/>
  <c r="G49" i="9"/>
  <c r="F49" i="9"/>
  <c r="E49" i="9"/>
  <c r="G48" i="9"/>
  <c r="F48" i="9"/>
  <c r="E48" i="9"/>
  <c r="G47" i="9"/>
  <c r="F47" i="9"/>
  <c r="E47" i="9"/>
  <c r="G46" i="9"/>
  <c r="F46" i="9"/>
  <c r="E46" i="9"/>
  <c r="G45" i="9"/>
  <c r="F45" i="9"/>
  <c r="E45" i="9"/>
  <c r="G44" i="9"/>
  <c r="F44" i="9"/>
  <c r="E44" i="9"/>
  <c r="G43" i="9"/>
  <c r="F43" i="9"/>
  <c r="E43" i="9"/>
  <c r="G42" i="9"/>
  <c r="F42" i="9"/>
  <c r="E42" i="9"/>
  <c r="G41" i="9"/>
  <c r="F41" i="9"/>
  <c r="E41" i="9"/>
  <c r="G40" i="9"/>
  <c r="F40" i="9"/>
  <c r="E40" i="9"/>
  <c r="G39" i="9"/>
  <c r="F39" i="9"/>
  <c r="E39" i="9"/>
  <c r="G38" i="9"/>
  <c r="F38" i="9"/>
  <c r="E38" i="9"/>
  <c r="G37" i="9"/>
  <c r="F37" i="9"/>
  <c r="E37" i="9"/>
  <c r="G36" i="9"/>
  <c r="F36" i="9"/>
  <c r="E36" i="9"/>
  <c r="G35" i="9"/>
  <c r="F35" i="9"/>
  <c r="E35" i="9"/>
  <c r="G34" i="9"/>
  <c r="F34" i="9"/>
  <c r="E34" i="9"/>
  <c r="G33" i="9"/>
  <c r="F33" i="9"/>
  <c r="E33" i="9"/>
  <c r="G32" i="9"/>
  <c r="F32" i="9"/>
  <c r="E32" i="9"/>
  <c r="G31" i="9"/>
  <c r="F31" i="9"/>
  <c r="E31" i="9"/>
  <c r="G30" i="9"/>
  <c r="F30" i="9"/>
  <c r="E30" i="9"/>
  <c r="G29" i="9"/>
  <c r="F29" i="9"/>
  <c r="E29" i="9"/>
  <c r="G28" i="9"/>
  <c r="F28" i="9"/>
  <c r="E28" i="9"/>
  <c r="G27" i="9"/>
  <c r="F27" i="9"/>
  <c r="E27" i="9"/>
  <c r="G26" i="9"/>
  <c r="F26" i="9"/>
  <c r="E26" i="9"/>
  <c r="G25" i="9"/>
  <c r="F25" i="9"/>
  <c r="E25" i="9"/>
  <c r="G24" i="9"/>
  <c r="F24" i="9"/>
  <c r="E24" i="9"/>
  <c r="G23" i="9"/>
  <c r="F23" i="9"/>
  <c r="E23" i="9"/>
  <c r="G22" i="9"/>
  <c r="F22" i="9"/>
  <c r="E22" i="9"/>
  <c r="G21" i="9"/>
  <c r="F21" i="9"/>
  <c r="E21" i="9"/>
  <c r="G20" i="9"/>
  <c r="F20" i="9"/>
  <c r="E20" i="9"/>
  <c r="G19" i="9"/>
  <c r="F19" i="9"/>
  <c r="E19" i="9"/>
  <c r="G18" i="9"/>
  <c r="F18" i="9"/>
  <c r="E18" i="9"/>
  <c r="G17" i="9"/>
  <c r="F17" i="9"/>
  <c r="E17" i="9"/>
  <c r="G16" i="9"/>
  <c r="F16" i="9"/>
  <c r="E16" i="9"/>
  <c r="G15" i="9"/>
  <c r="F15" i="9"/>
  <c r="E15" i="9"/>
  <c r="G14" i="9"/>
  <c r="F14" i="9"/>
  <c r="E14" i="9"/>
  <c r="G13" i="9"/>
  <c r="F13" i="9"/>
  <c r="E13" i="9"/>
  <c r="G12" i="9"/>
  <c r="F12" i="9"/>
  <c r="E12" i="9"/>
  <c r="G11" i="9"/>
  <c r="F11" i="9"/>
  <c r="E11" i="9"/>
  <c r="G10" i="9"/>
  <c r="F10" i="9"/>
  <c r="E10" i="9"/>
  <c r="G9" i="9"/>
  <c r="F9" i="9"/>
  <c r="E9" i="9"/>
  <c r="G8" i="9"/>
  <c r="F8" i="9"/>
  <c r="E8" i="9"/>
  <c r="G7" i="9"/>
  <c r="F7" i="9"/>
  <c r="E7" i="9"/>
  <c r="G6" i="9"/>
  <c r="F6" i="9"/>
  <c r="E6" i="9"/>
  <c r="G5" i="9"/>
  <c r="F5" i="9"/>
  <c r="E5" i="9"/>
  <c r="G4" i="9"/>
  <c r="F4" i="9"/>
  <c r="E4" i="9"/>
  <c r="G3" i="9"/>
  <c r="F3" i="9"/>
  <c r="E3" i="9"/>
  <c r="C132" i="9"/>
  <c r="B132" i="9"/>
  <c r="A132" i="9"/>
  <c r="C131" i="9"/>
  <c r="B131" i="9"/>
  <c r="A131" i="9"/>
  <c r="C130" i="9"/>
  <c r="B130" i="9"/>
  <c r="A130" i="9"/>
  <c r="C129" i="9"/>
  <c r="B129" i="9"/>
  <c r="A129" i="9"/>
  <c r="C128" i="9"/>
  <c r="B128" i="9"/>
  <c r="A128" i="9"/>
  <c r="C127" i="9"/>
  <c r="B127" i="9"/>
  <c r="A127" i="9"/>
  <c r="C126" i="9"/>
  <c r="B126" i="9"/>
  <c r="A126" i="9"/>
  <c r="C125" i="9"/>
  <c r="B125" i="9"/>
  <c r="A125" i="9"/>
  <c r="C124" i="9"/>
  <c r="B124" i="9"/>
  <c r="A124" i="9"/>
  <c r="C123" i="9"/>
  <c r="B123" i="9"/>
  <c r="A123" i="9"/>
  <c r="C122" i="9"/>
  <c r="B122" i="9"/>
  <c r="A122" i="9"/>
  <c r="C121" i="9"/>
  <c r="B121" i="9"/>
  <c r="A121" i="9"/>
  <c r="C120" i="9"/>
  <c r="B120" i="9"/>
  <c r="A120" i="9"/>
  <c r="C119" i="9"/>
  <c r="B119" i="9"/>
  <c r="A119" i="9"/>
  <c r="C118" i="9"/>
  <c r="B118" i="9"/>
  <c r="A118" i="9"/>
  <c r="C117" i="9"/>
  <c r="B117" i="9"/>
  <c r="A117" i="9"/>
  <c r="C116" i="9"/>
  <c r="B116" i="9"/>
  <c r="A116" i="9"/>
  <c r="C115" i="9"/>
  <c r="B115" i="9"/>
  <c r="A115" i="9"/>
  <c r="C114" i="9"/>
  <c r="B114" i="9"/>
  <c r="A114" i="9"/>
  <c r="C113" i="9"/>
  <c r="B113" i="9"/>
  <c r="A113" i="9"/>
  <c r="C112" i="9"/>
  <c r="B112" i="9"/>
  <c r="A112" i="9"/>
  <c r="C111" i="9"/>
  <c r="B111" i="9"/>
  <c r="A111" i="9"/>
  <c r="C110" i="9"/>
  <c r="B110" i="9"/>
  <c r="A110" i="9"/>
  <c r="C109" i="9"/>
  <c r="B109" i="9"/>
  <c r="A109" i="9"/>
  <c r="C108" i="9"/>
  <c r="B108" i="9"/>
  <c r="A108" i="9"/>
  <c r="C107" i="9"/>
  <c r="B107" i="9"/>
  <c r="A107" i="9"/>
  <c r="C106" i="9"/>
  <c r="B106" i="9"/>
  <c r="A106" i="9"/>
  <c r="C105" i="9"/>
  <c r="B105" i="9"/>
  <c r="A105" i="9"/>
  <c r="C104" i="9"/>
  <c r="B104" i="9"/>
  <c r="A104" i="9"/>
  <c r="C103" i="9"/>
  <c r="B103" i="9"/>
  <c r="A103" i="9"/>
  <c r="C102" i="9"/>
  <c r="B102" i="9"/>
  <c r="A102" i="9"/>
  <c r="C101" i="9"/>
  <c r="B101" i="9"/>
  <c r="A101" i="9"/>
  <c r="C100" i="9"/>
  <c r="B100" i="9"/>
  <c r="A100" i="9"/>
  <c r="C99" i="9"/>
  <c r="B99" i="9"/>
  <c r="A99" i="9"/>
  <c r="C98" i="9"/>
  <c r="B98" i="9"/>
  <c r="A98" i="9"/>
  <c r="C97" i="9"/>
  <c r="B97" i="9"/>
  <c r="A97" i="9"/>
  <c r="C96" i="9"/>
  <c r="B96" i="9"/>
  <c r="A96" i="9"/>
  <c r="C95" i="9"/>
  <c r="B95" i="9"/>
  <c r="A95" i="9"/>
  <c r="C94" i="9"/>
  <c r="B94" i="9"/>
  <c r="A94" i="9"/>
  <c r="C93" i="9"/>
  <c r="B93" i="9"/>
  <c r="A93" i="9"/>
  <c r="C92" i="9"/>
  <c r="B92" i="9"/>
  <c r="A92" i="9"/>
  <c r="C91" i="9"/>
  <c r="B91" i="9"/>
  <c r="A91" i="9"/>
  <c r="C90" i="9"/>
  <c r="B90" i="9"/>
  <c r="A90" i="9"/>
  <c r="C89" i="9"/>
  <c r="B89" i="9"/>
  <c r="A89" i="9"/>
  <c r="C88" i="9"/>
  <c r="B88" i="9"/>
  <c r="A88" i="9"/>
  <c r="C87" i="9"/>
  <c r="B87" i="9"/>
  <c r="A87" i="9"/>
  <c r="C86" i="9"/>
  <c r="B86" i="9"/>
  <c r="A86" i="9"/>
  <c r="C85" i="9"/>
  <c r="B85" i="9"/>
  <c r="A85" i="9"/>
  <c r="C84" i="9"/>
  <c r="B84" i="9"/>
  <c r="A84" i="9"/>
  <c r="C83" i="9"/>
  <c r="B83" i="9"/>
  <c r="A83" i="9"/>
  <c r="C82" i="9"/>
  <c r="B82" i="9"/>
  <c r="A82" i="9"/>
  <c r="C81" i="9"/>
  <c r="B81" i="9"/>
  <c r="A81" i="9"/>
  <c r="C80" i="9"/>
  <c r="B80" i="9"/>
  <c r="A80" i="9"/>
  <c r="C79" i="9"/>
  <c r="B79" i="9"/>
  <c r="A79" i="9"/>
  <c r="C78" i="9"/>
  <c r="B78" i="9"/>
  <c r="A78" i="9"/>
  <c r="C77" i="9"/>
  <c r="B77" i="9"/>
  <c r="A77" i="9"/>
  <c r="C76" i="9"/>
  <c r="B76" i="9"/>
  <c r="A76" i="9"/>
  <c r="C75" i="9"/>
  <c r="B75" i="9"/>
  <c r="A75" i="9"/>
  <c r="C74" i="9"/>
  <c r="B74" i="9"/>
  <c r="A74" i="9"/>
  <c r="C73" i="9"/>
  <c r="B73" i="9"/>
  <c r="A73" i="9"/>
  <c r="C72" i="9"/>
  <c r="B72" i="9"/>
  <c r="A72" i="9"/>
  <c r="C71" i="9"/>
  <c r="B71" i="9"/>
  <c r="A71" i="9"/>
  <c r="C70" i="9"/>
  <c r="B70" i="9"/>
  <c r="A70" i="9"/>
  <c r="C69" i="9"/>
  <c r="B69" i="9"/>
  <c r="A69" i="9"/>
  <c r="C68" i="9"/>
  <c r="B68" i="9"/>
  <c r="A68" i="9"/>
  <c r="C67" i="9"/>
  <c r="B67" i="9"/>
  <c r="A67" i="9"/>
  <c r="C66" i="9"/>
  <c r="B66" i="9"/>
  <c r="A66" i="9"/>
  <c r="C65" i="9"/>
  <c r="B65" i="9"/>
  <c r="A65" i="9"/>
  <c r="C64" i="9"/>
  <c r="B64" i="9"/>
  <c r="A64" i="9"/>
  <c r="C63" i="9"/>
  <c r="B63" i="9"/>
  <c r="A63" i="9"/>
  <c r="C62" i="9"/>
  <c r="B62" i="9"/>
  <c r="A62" i="9"/>
  <c r="C61" i="9"/>
  <c r="B61" i="9"/>
  <c r="A61" i="9"/>
  <c r="C60" i="9"/>
  <c r="B60" i="9"/>
  <c r="A60" i="9"/>
  <c r="C59" i="9"/>
  <c r="B59" i="9"/>
  <c r="A59" i="9"/>
  <c r="C58" i="9"/>
  <c r="B58" i="9"/>
  <c r="A58" i="9"/>
  <c r="C57" i="9"/>
  <c r="B57" i="9"/>
  <c r="A57" i="9"/>
  <c r="C56" i="9"/>
  <c r="B56" i="9"/>
  <c r="A56" i="9"/>
  <c r="C55" i="9"/>
  <c r="B55" i="9"/>
  <c r="A55" i="9"/>
  <c r="C54" i="9"/>
  <c r="B54" i="9"/>
  <c r="A54" i="9"/>
  <c r="C53" i="9"/>
  <c r="B53" i="9"/>
  <c r="A53" i="9"/>
  <c r="C52" i="9"/>
  <c r="B52" i="9"/>
  <c r="A52" i="9"/>
  <c r="C51" i="9"/>
  <c r="B51" i="9"/>
  <c r="A51" i="9"/>
  <c r="C50" i="9"/>
  <c r="B50" i="9"/>
  <c r="A50" i="9"/>
  <c r="C49" i="9"/>
  <c r="B49" i="9"/>
  <c r="A49" i="9"/>
  <c r="C48" i="9"/>
  <c r="B48" i="9"/>
  <c r="A48" i="9"/>
  <c r="C47" i="9"/>
  <c r="B47" i="9"/>
  <c r="A47" i="9"/>
  <c r="C46" i="9"/>
  <c r="B46" i="9"/>
  <c r="A46" i="9"/>
  <c r="C45" i="9"/>
  <c r="B45" i="9"/>
  <c r="A45" i="9"/>
  <c r="C44" i="9"/>
  <c r="B44" i="9"/>
  <c r="A44" i="9"/>
  <c r="C43" i="9"/>
  <c r="B43" i="9"/>
  <c r="A43" i="9"/>
  <c r="C42" i="9"/>
  <c r="B42" i="9"/>
  <c r="A42" i="9"/>
  <c r="C41" i="9"/>
  <c r="B41" i="9"/>
  <c r="A41" i="9"/>
  <c r="C40" i="9"/>
  <c r="B40" i="9"/>
  <c r="A40" i="9"/>
  <c r="C39" i="9"/>
  <c r="B39" i="9"/>
  <c r="A39" i="9"/>
  <c r="C38" i="9"/>
  <c r="B38" i="9"/>
  <c r="A38" i="9"/>
  <c r="C37" i="9"/>
  <c r="B37" i="9"/>
  <c r="A37" i="9"/>
  <c r="C36" i="9"/>
  <c r="B36" i="9"/>
  <c r="A36" i="9"/>
  <c r="C35" i="9"/>
  <c r="B35" i="9"/>
  <c r="A35" i="9"/>
  <c r="C34" i="9"/>
  <c r="B34" i="9"/>
  <c r="A34" i="9"/>
  <c r="C33" i="9"/>
  <c r="B33" i="9"/>
  <c r="A33" i="9"/>
  <c r="C32" i="9"/>
  <c r="B32" i="9"/>
  <c r="A32" i="9"/>
  <c r="C31" i="9"/>
  <c r="B31" i="9"/>
  <c r="A31" i="9"/>
  <c r="C30" i="9"/>
  <c r="B30" i="9"/>
  <c r="A30" i="9"/>
  <c r="C29" i="9"/>
  <c r="B29" i="9"/>
  <c r="A29" i="9"/>
  <c r="C28" i="9"/>
  <c r="B28" i="9"/>
  <c r="A28" i="9"/>
  <c r="C27" i="9"/>
  <c r="B27" i="9"/>
  <c r="A27" i="9"/>
  <c r="C26" i="9"/>
  <c r="B26" i="9"/>
  <c r="A26" i="9"/>
  <c r="C25" i="9"/>
  <c r="B25" i="9"/>
  <c r="A25" i="9"/>
  <c r="C24" i="9"/>
  <c r="B24" i="9"/>
  <c r="A24" i="9"/>
  <c r="C23" i="9"/>
  <c r="B23" i="9"/>
  <c r="A23" i="9"/>
  <c r="C22" i="9"/>
  <c r="B22" i="9"/>
  <c r="A22" i="9"/>
  <c r="C21" i="9"/>
  <c r="B21" i="9"/>
  <c r="A21" i="9"/>
  <c r="C20" i="9"/>
  <c r="B20" i="9"/>
  <c r="A20" i="9"/>
  <c r="C19" i="9"/>
  <c r="B19" i="9"/>
  <c r="A19" i="9"/>
  <c r="C18" i="9"/>
  <c r="B18" i="9"/>
  <c r="A18" i="9"/>
  <c r="C17" i="9"/>
  <c r="B17" i="9"/>
  <c r="A17" i="9"/>
  <c r="C16" i="9"/>
  <c r="B16" i="9"/>
  <c r="A16" i="9"/>
  <c r="C15" i="9"/>
  <c r="B15" i="9"/>
  <c r="A15" i="9"/>
  <c r="C14" i="9"/>
  <c r="B14" i="9"/>
  <c r="A14" i="9"/>
  <c r="C13" i="9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C7" i="9"/>
  <c r="B7" i="9"/>
  <c r="A7" i="9"/>
  <c r="C6" i="9"/>
  <c r="B6" i="9"/>
  <c r="A6" i="9"/>
  <c r="C5" i="9"/>
  <c r="B5" i="9"/>
  <c r="A5" i="9"/>
  <c r="C4" i="9"/>
  <c r="B4" i="9"/>
  <c r="A4" i="9"/>
  <c r="C3" i="9"/>
  <c r="B3" i="9"/>
  <c r="A3" i="9"/>
  <c r="G22" i="7"/>
  <c r="Y126" i="8" s="1"/>
  <c r="Y123" i="8"/>
  <c r="M22" i="7"/>
  <c r="AC135" i="8"/>
  <c r="AC134" i="8"/>
  <c r="AC133" i="8"/>
  <c r="AC132" i="8"/>
  <c r="AC131" i="8"/>
  <c r="AC130" i="8"/>
  <c r="AC129" i="8"/>
  <c r="AC128" i="8"/>
  <c r="AC127" i="8"/>
  <c r="AC126" i="8"/>
  <c r="AC125" i="8"/>
  <c r="AC124" i="8"/>
  <c r="AC123" i="8"/>
  <c r="AC122" i="8"/>
  <c r="AC121" i="8"/>
  <c r="AC120" i="8"/>
  <c r="AC119" i="8"/>
  <c r="AC118" i="8"/>
  <c r="AC117" i="8"/>
  <c r="AC116" i="8"/>
  <c r="AC115" i="8"/>
  <c r="AC114" i="8"/>
  <c r="AC113" i="8"/>
  <c r="AC112" i="8"/>
  <c r="AC111" i="8"/>
  <c r="AC110" i="8"/>
  <c r="AC109" i="8"/>
  <c r="AC108" i="8"/>
  <c r="AC107" i="8"/>
  <c r="AC106" i="8"/>
  <c r="AC105" i="8"/>
  <c r="AC104" i="8"/>
  <c r="AC103" i="8"/>
  <c r="AC102" i="8"/>
  <c r="AC101" i="8"/>
  <c r="AC100" i="8"/>
  <c r="AC99" i="8"/>
  <c r="AC98" i="8"/>
  <c r="AC97" i="8"/>
  <c r="AC96" i="8"/>
  <c r="AC95" i="8"/>
  <c r="AC94" i="8"/>
  <c r="AC93" i="8"/>
  <c r="AC92" i="8"/>
  <c r="AC91" i="8"/>
  <c r="AC90" i="8"/>
  <c r="AC89" i="8"/>
  <c r="AC88" i="8"/>
  <c r="AC87" i="8"/>
  <c r="AC86" i="8"/>
  <c r="AC85" i="8"/>
  <c r="AC84" i="8"/>
  <c r="AC83" i="8"/>
  <c r="AC82" i="8"/>
  <c r="AC81" i="8"/>
  <c r="AC80" i="8"/>
  <c r="AC79" i="8"/>
  <c r="AC78" i="8"/>
  <c r="AC77" i="8"/>
  <c r="AC76" i="8"/>
  <c r="AC75" i="8"/>
  <c r="AC74" i="8"/>
  <c r="AC73" i="8"/>
  <c r="AC72" i="8"/>
  <c r="AC71" i="8"/>
  <c r="AC70" i="8"/>
  <c r="AC69" i="8"/>
  <c r="AC68" i="8"/>
  <c r="AC67" i="8"/>
  <c r="AC66" i="8"/>
  <c r="AC65" i="8"/>
  <c r="AC64" i="8"/>
  <c r="AC63" i="8"/>
  <c r="AC62" i="8"/>
  <c r="AC61" i="8"/>
  <c r="AC60" i="8"/>
  <c r="AC59" i="8"/>
  <c r="AC58" i="8"/>
  <c r="AC57" i="8"/>
  <c r="AC56" i="8"/>
  <c r="AC55" i="8"/>
  <c r="AC54" i="8"/>
  <c r="AC53" i="8"/>
  <c r="AC52" i="8"/>
  <c r="AC51" i="8"/>
  <c r="AC50" i="8"/>
  <c r="AC49" i="8"/>
  <c r="AC48" i="8"/>
  <c r="AC47" i="8"/>
  <c r="AC46" i="8"/>
  <c r="AC45" i="8"/>
  <c r="AC44" i="8"/>
  <c r="AC43" i="8"/>
  <c r="AC42" i="8"/>
  <c r="AC41" i="8"/>
  <c r="AC40" i="8"/>
  <c r="AC39" i="8"/>
  <c r="AC38" i="8"/>
  <c r="AC37" i="8"/>
  <c r="AC36" i="8"/>
  <c r="AC35" i="8"/>
  <c r="AC34" i="8"/>
  <c r="AC33" i="8"/>
  <c r="AC32" i="8"/>
  <c r="AC31" i="8"/>
  <c r="AC30" i="8"/>
  <c r="AC29" i="8"/>
  <c r="AC28" i="8"/>
  <c r="AC27" i="8"/>
  <c r="AC26" i="8"/>
  <c r="AC25" i="8"/>
  <c r="AC24" i="8"/>
  <c r="AC23" i="8"/>
  <c r="AC22" i="8"/>
  <c r="AC21" i="8"/>
  <c r="AC20" i="8"/>
  <c r="AC19" i="8"/>
  <c r="AC18" i="8"/>
  <c r="AC17" i="8"/>
  <c r="AC16" i="8"/>
  <c r="AC15" i="8"/>
  <c r="AC14" i="8"/>
  <c r="AC13" i="8"/>
  <c r="AC12" i="8"/>
  <c r="AC11" i="8"/>
  <c r="AC10" i="8"/>
  <c r="AC9" i="8"/>
  <c r="AC8" i="8"/>
  <c r="AC7" i="8"/>
  <c r="AC6" i="8"/>
  <c r="Y135" i="8"/>
  <c r="Y134" i="8"/>
  <c r="Y133" i="8"/>
  <c r="Y132" i="8"/>
  <c r="Y131" i="8"/>
  <c r="Y130" i="8"/>
  <c r="Y129" i="8"/>
  <c r="Y128" i="8"/>
  <c r="Y127" i="8"/>
  <c r="Y124" i="8"/>
  <c r="Y114" i="8"/>
  <c r="Y113" i="8"/>
  <c r="Y112" i="8"/>
  <c r="Y111" i="8"/>
  <c r="Y110" i="8"/>
  <c r="Y109" i="8"/>
  <c r="Y108" i="8"/>
  <c r="Y107" i="8"/>
  <c r="Y106" i="8"/>
  <c r="Y105" i="8"/>
  <c r="Y104" i="8"/>
  <c r="Y99" i="8"/>
  <c r="Y96" i="8"/>
  <c r="Y90" i="8"/>
  <c r="Y89" i="8"/>
  <c r="Y88" i="8"/>
  <c r="Y87" i="8"/>
  <c r="Y86" i="8"/>
  <c r="Y85" i="8"/>
  <c r="Y84" i="8"/>
  <c r="Y79" i="8"/>
  <c r="Y78" i="8"/>
  <c r="Y77" i="8"/>
  <c r="Y76" i="8"/>
  <c r="Y75" i="8"/>
  <c r="Y72" i="8"/>
  <c r="Y66" i="8"/>
  <c r="Y65" i="8"/>
  <c r="Y64" i="8"/>
  <c r="Y59" i="8"/>
  <c r="Y58" i="8"/>
  <c r="Y57" i="8"/>
  <c r="Y56" i="8"/>
  <c r="Y55" i="8"/>
  <c r="Y54" i="8"/>
  <c r="Y53" i="8"/>
  <c r="Y52" i="8"/>
  <c r="Y51" i="8"/>
  <c r="Y48" i="8"/>
  <c r="Y38" i="8"/>
  <c r="Y37" i="8"/>
  <c r="Y36" i="8"/>
  <c r="Y35" i="8"/>
  <c r="Y34" i="8"/>
  <c r="Y33" i="8"/>
  <c r="Y32" i="8"/>
  <c r="Y31" i="8"/>
  <c r="Y30" i="8"/>
  <c r="Y29" i="8"/>
  <c r="Y28" i="8"/>
  <c r="Y27" i="8"/>
  <c r="Y26" i="8"/>
  <c r="Y25" i="8"/>
  <c r="Y24" i="8"/>
  <c r="Y19" i="8"/>
  <c r="Y14" i="8"/>
  <c r="Y13" i="8"/>
  <c r="Y12" i="8"/>
  <c r="Y11" i="8"/>
  <c r="Y10" i="8"/>
  <c r="Y9" i="8"/>
  <c r="Y8" i="8"/>
  <c r="Y7" i="8"/>
  <c r="Y6" i="8"/>
  <c r="T135" i="8"/>
  <c r="T134" i="8"/>
  <c r="T133" i="8"/>
  <c r="T132" i="8"/>
  <c r="T131" i="8"/>
  <c r="T130" i="8"/>
  <c r="T129" i="8"/>
  <c r="T128" i="8"/>
  <c r="T127" i="8"/>
  <c r="T126" i="8"/>
  <c r="T125" i="8"/>
  <c r="T124" i="8"/>
  <c r="T123" i="8"/>
  <c r="T122" i="8"/>
  <c r="T121" i="8"/>
  <c r="T120" i="8"/>
  <c r="T119" i="8"/>
  <c r="T118" i="8"/>
  <c r="T117" i="8"/>
  <c r="T116" i="8"/>
  <c r="T115" i="8"/>
  <c r="T114" i="8"/>
  <c r="T113" i="8"/>
  <c r="T112" i="8"/>
  <c r="T111" i="8"/>
  <c r="T110" i="8"/>
  <c r="T109" i="8"/>
  <c r="T108" i="8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T80" i="8"/>
  <c r="T79" i="8"/>
  <c r="T78" i="8"/>
  <c r="T77" i="8"/>
  <c r="T76" i="8"/>
  <c r="T75" i="8"/>
  <c r="T74" i="8"/>
  <c r="T73" i="8"/>
  <c r="T72" i="8"/>
  <c r="T71" i="8"/>
  <c r="T70" i="8"/>
  <c r="T69" i="8"/>
  <c r="T68" i="8"/>
  <c r="T67" i="8"/>
  <c r="T66" i="8"/>
  <c r="T65" i="8"/>
  <c r="T64" i="8"/>
  <c r="T63" i="8"/>
  <c r="T62" i="8"/>
  <c r="T61" i="8"/>
  <c r="T60" i="8"/>
  <c r="T59" i="8"/>
  <c r="T58" i="8"/>
  <c r="T57" i="8"/>
  <c r="T56" i="8"/>
  <c r="T55" i="8"/>
  <c r="T5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P135" i="8"/>
  <c r="P134" i="8"/>
  <c r="P133" i="8"/>
  <c r="P132" i="8"/>
  <c r="P131" i="8"/>
  <c r="P130" i="8"/>
  <c r="P129" i="8"/>
  <c r="P128" i="8"/>
  <c r="P127" i="8"/>
  <c r="P126" i="8"/>
  <c r="P125" i="8"/>
  <c r="P124" i="8"/>
  <c r="P123" i="8"/>
  <c r="P122" i="8"/>
  <c r="P121" i="8"/>
  <c r="P120" i="8"/>
  <c r="P119" i="8"/>
  <c r="P118" i="8"/>
  <c r="P117" i="8"/>
  <c r="P116" i="8"/>
  <c r="P115" i="8"/>
  <c r="P114" i="8"/>
  <c r="P113" i="8"/>
  <c r="P112" i="8"/>
  <c r="P111" i="8"/>
  <c r="P110" i="8"/>
  <c r="P109" i="8"/>
  <c r="P108" i="8"/>
  <c r="P107" i="8"/>
  <c r="P106" i="8"/>
  <c r="P105" i="8"/>
  <c r="P104" i="8"/>
  <c r="P103" i="8"/>
  <c r="P102" i="8"/>
  <c r="P101" i="8"/>
  <c r="P100" i="8"/>
  <c r="P99" i="8"/>
  <c r="P98" i="8"/>
  <c r="P97" i="8"/>
  <c r="P96" i="8"/>
  <c r="P95" i="8"/>
  <c r="P94" i="8"/>
  <c r="P93" i="8"/>
  <c r="P92" i="8"/>
  <c r="P91" i="8"/>
  <c r="P90" i="8"/>
  <c r="P89" i="8"/>
  <c r="P88" i="8"/>
  <c r="P87" i="8"/>
  <c r="P86" i="8"/>
  <c r="P85" i="8"/>
  <c r="P84" i="8"/>
  <c r="P83" i="8"/>
  <c r="P82" i="8"/>
  <c r="P81" i="8"/>
  <c r="P80" i="8"/>
  <c r="P79" i="8"/>
  <c r="P78" i="8"/>
  <c r="P77" i="8"/>
  <c r="P76" i="8"/>
  <c r="P75" i="8"/>
  <c r="P74" i="8"/>
  <c r="P73" i="8"/>
  <c r="P72" i="8"/>
  <c r="P71" i="8"/>
  <c r="P70" i="8"/>
  <c r="P69" i="8"/>
  <c r="P68" i="8"/>
  <c r="P67" i="8"/>
  <c r="P66" i="8"/>
  <c r="P65" i="8"/>
  <c r="P64" i="8"/>
  <c r="P63" i="8"/>
  <c r="P62" i="8"/>
  <c r="P61" i="8"/>
  <c r="P60" i="8"/>
  <c r="P59" i="8"/>
  <c r="P58" i="8"/>
  <c r="P57" i="8"/>
  <c r="P56" i="8"/>
  <c r="P55" i="8"/>
  <c r="P54" i="8"/>
  <c r="P53" i="8"/>
  <c r="P52" i="8"/>
  <c r="P51" i="8"/>
  <c r="P50" i="8"/>
  <c r="P49" i="8"/>
  <c r="P48" i="8"/>
  <c r="P47" i="8"/>
  <c r="P46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P32" i="8"/>
  <c r="P31" i="8"/>
  <c r="P30" i="8"/>
  <c r="P29" i="8"/>
  <c r="P28" i="8"/>
  <c r="P27" i="8"/>
  <c r="P26" i="8"/>
  <c r="P25" i="8"/>
  <c r="P24" i="8"/>
  <c r="P23" i="8"/>
  <c r="P22" i="8"/>
  <c r="P21" i="8"/>
  <c r="P20" i="8"/>
  <c r="P19" i="8"/>
  <c r="P18" i="8"/>
  <c r="P17" i="8"/>
  <c r="P16" i="8"/>
  <c r="P15" i="8"/>
  <c r="P14" i="8"/>
  <c r="P13" i="8"/>
  <c r="P12" i="8"/>
  <c r="P11" i="8"/>
  <c r="P10" i="8"/>
  <c r="P9" i="8"/>
  <c r="P8" i="8"/>
  <c r="P7" i="8"/>
  <c r="P6" i="8"/>
  <c r="AB7" i="8"/>
  <c r="AB8" i="8" s="1"/>
  <c r="AB9" i="8" s="1"/>
  <c r="AB10" i="8" s="1"/>
  <c r="AB11" i="8" s="1"/>
  <c r="AB12" i="8" s="1"/>
  <c r="AB13" i="8" s="1"/>
  <c r="AB14" i="8" s="1"/>
  <c r="AB15" i="8" s="1"/>
  <c r="AB16" i="8" s="1"/>
  <c r="AB17" i="8" s="1"/>
  <c r="AB18" i="8" s="1"/>
  <c r="AB19" i="8" s="1"/>
  <c r="AB20" i="8" s="1"/>
  <c r="AB21" i="8" s="1"/>
  <c r="AB22" i="8" s="1"/>
  <c r="AB23" i="8" s="1"/>
  <c r="AB24" i="8" s="1"/>
  <c r="AB25" i="8" s="1"/>
  <c r="AB26" i="8" s="1"/>
  <c r="AB27" i="8" s="1"/>
  <c r="AB28" i="8" s="1"/>
  <c r="AB29" i="8" s="1"/>
  <c r="AB30" i="8" s="1"/>
  <c r="AB31" i="8" s="1"/>
  <c r="AB32" i="8" s="1"/>
  <c r="AB33" i="8" s="1"/>
  <c r="AB34" i="8" s="1"/>
  <c r="AB35" i="8" s="1"/>
  <c r="AB36" i="8" s="1"/>
  <c r="AB37" i="8" s="1"/>
  <c r="AB38" i="8" s="1"/>
  <c r="AB39" i="8" s="1"/>
  <c r="AB40" i="8" s="1"/>
  <c r="AB41" i="8" s="1"/>
  <c r="AB42" i="8" s="1"/>
  <c r="AB43" i="8" s="1"/>
  <c r="AB44" i="8" s="1"/>
  <c r="AB45" i="8" s="1"/>
  <c r="AB46" i="8" s="1"/>
  <c r="AB47" i="8" s="1"/>
  <c r="AB48" i="8" s="1"/>
  <c r="AB49" i="8" s="1"/>
  <c r="AB50" i="8" s="1"/>
  <c r="AB51" i="8" s="1"/>
  <c r="AB52" i="8" s="1"/>
  <c r="AB53" i="8" s="1"/>
  <c r="AB54" i="8" s="1"/>
  <c r="AB55" i="8" s="1"/>
  <c r="AB56" i="8" s="1"/>
  <c r="AB57" i="8" s="1"/>
  <c r="AB58" i="8" s="1"/>
  <c r="AB59" i="8" s="1"/>
  <c r="AB60" i="8" s="1"/>
  <c r="AB61" i="8" s="1"/>
  <c r="AB62" i="8" s="1"/>
  <c r="AB63" i="8" s="1"/>
  <c r="AB64" i="8" s="1"/>
  <c r="AB65" i="8" s="1"/>
  <c r="AB66" i="8" s="1"/>
  <c r="AB67" i="8" s="1"/>
  <c r="AB68" i="8" s="1"/>
  <c r="AB69" i="8" s="1"/>
  <c r="AB70" i="8" s="1"/>
  <c r="AB71" i="8" s="1"/>
  <c r="AB72" i="8" s="1"/>
  <c r="AB73" i="8" s="1"/>
  <c r="AB74" i="8" s="1"/>
  <c r="AB75" i="8" s="1"/>
  <c r="AB76" i="8" s="1"/>
  <c r="AB77" i="8" s="1"/>
  <c r="AB78" i="8" s="1"/>
  <c r="AB79" i="8" s="1"/>
  <c r="AB80" i="8" s="1"/>
  <c r="AB81" i="8" s="1"/>
  <c r="AB82" i="8" s="1"/>
  <c r="AB83" i="8" s="1"/>
  <c r="AB84" i="8" s="1"/>
  <c r="AB85" i="8" s="1"/>
  <c r="AB86" i="8" s="1"/>
  <c r="AB87" i="8" s="1"/>
  <c r="AB88" i="8" s="1"/>
  <c r="AB89" i="8" s="1"/>
  <c r="AB90" i="8" s="1"/>
  <c r="AB91" i="8" s="1"/>
  <c r="AB92" i="8" s="1"/>
  <c r="AB93" i="8" s="1"/>
  <c r="AB94" i="8" s="1"/>
  <c r="AB95" i="8" s="1"/>
  <c r="AB96" i="8" s="1"/>
  <c r="AB97" i="8" s="1"/>
  <c r="AB98" i="8" s="1"/>
  <c r="AB99" i="8" s="1"/>
  <c r="AB100" i="8" s="1"/>
  <c r="AB101" i="8" s="1"/>
  <c r="AB102" i="8" s="1"/>
  <c r="AB103" i="8" s="1"/>
  <c r="AB104" i="8" s="1"/>
  <c r="AB105" i="8" s="1"/>
  <c r="AB106" i="8" s="1"/>
  <c r="AB107" i="8" s="1"/>
  <c r="AB108" i="8" s="1"/>
  <c r="AB109" i="8" s="1"/>
  <c r="AB110" i="8" s="1"/>
  <c r="AB111" i="8" s="1"/>
  <c r="AB112" i="8" s="1"/>
  <c r="AB113" i="8" s="1"/>
  <c r="AB114" i="8" s="1"/>
  <c r="AB115" i="8" s="1"/>
  <c r="AB116" i="8" s="1"/>
  <c r="AB117" i="8" s="1"/>
  <c r="AB118" i="8" s="1"/>
  <c r="AB119" i="8" s="1"/>
  <c r="AB120" i="8" s="1"/>
  <c r="AB121" i="8" s="1"/>
  <c r="AB122" i="8" s="1"/>
  <c r="AB123" i="8" s="1"/>
  <c r="AB124" i="8" s="1"/>
  <c r="AB125" i="8" s="1"/>
  <c r="AB126" i="8" s="1"/>
  <c r="AB127" i="8" s="1"/>
  <c r="AB128" i="8" s="1"/>
  <c r="AB129" i="8" s="1"/>
  <c r="AB130" i="8" s="1"/>
  <c r="AB131" i="8" s="1"/>
  <c r="AB132" i="8" s="1"/>
  <c r="AB133" i="8" s="1"/>
  <c r="AB134" i="8" s="1"/>
  <c r="AB135" i="8" s="1"/>
  <c r="AB6" i="8"/>
  <c r="X7" i="8"/>
  <c r="X8" i="8" s="1"/>
  <c r="X9" i="8" s="1"/>
  <c r="X10" i="8" s="1"/>
  <c r="X11" i="8" s="1"/>
  <c r="X12" i="8" s="1"/>
  <c r="X13" i="8" s="1"/>
  <c r="X14" i="8" s="1"/>
  <c r="X15" i="8" s="1"/>
  <c r="X16" i="8" s="1"/>
  <c r="X17" i="8" s="1"/>
  <c r="X18" i="8" s="1"/>
  <c r="X19" i="8" s="1"/>
  <c r="X20" i="8" s="1"/>
  <c r="X21" i="8" s="1"/>
  <c r="X22" i="8" s="1"/>
  <c r="X23" i="8" s="1"/>
  <c r="X24" i="8" s="1"/>
  <c r="X25" i="8" s="1"/>
  <c r="X26" i="8" s="1"/>
  <c r="X27" i="8" s="1"/>
  <c r="X28" i="8" s="1"/>
  <c r="X29" i="8" s="1"/>
  <c r="X30" i="8" s="1"/>
  <c r="X31" i="8" s="1"/>
  <c r="X32" i="8" s="1"/>
  <c r="X33" i="8" s="1"/>
  <c r="X34" i="8" s="1"/>
  <c r="X35" i="8" s="1"/>
  <c r="X36" i="8" s="1"/>
  <c r="X37" i="8" s="1"/>
  <c r="X38" i="8" s="1"/>
  <c r="X39" i="8" s="1"/>
  <c r="X40" i="8" s="1"/>
  <c r="X41" i="8" s="1"/>
  <c r="X42" i="8" s="1"/>
  <c r="X43" i="8" s="1"/>
  <c r="X44" i="8" s="1"/>
  <c r="X45" i="8" s="1"/>
  <c r="X46" i="8" s="1"/>
  <c r="X47" i="8" s="1"/>
  <c r="X48" i="8" s="1"/>
  <c r="X49" i="8" s="1"/>
  <c r="X50" i="8" s="1"/>
  <c r="X51" i="8" s="1"/>
  <c r="X52" i="8" s="1"/>
  <c r="X53" i="8" s="1"/>
  <c r="X54" i="8" s="1"/>
  <c r="X55" i="8" s="1"/>
  <c r="X56" i="8" s="1"/>
  <c r="X57" i="8" s="1"/>
  <c r="X58" i="8" s="1"/>
  <c r="X59" i="8" s="1"/>
  <c r="X60" i="8" s="1"/>
  <c r="X61" i="8" s="1"/>
  <c r="X62" i="8" s="1"/>
  <c r="X63" i="8" s="1"/>
  <c r="X64" i="8" s="1"/>
  <c r="X65" i="8" s="1"/>
  <c r="X66" i="8" s="1"/>
  <c r="X67" i="8" s="1"/>
  <c r="X68" i="8" s="1"/>
  <c r="X69" i="8" s="1"/>
  <c r="X70" i="8" s="1"/>
  <c r="X71" i="8" s="1"/>
  <c r="X72" i="8" s="1"/>
  <c r="X73" i="8" s="1"/>
  <c r="X74" i="8" s="1"/>
  <c r="X75" i="8" s="1"/>
  <c r="X76" i="8" s="1"/>
  <c r="X77" i="8" s="1"/>
  <c r="X78" i="8" s="1"/>
  <c r="X79" i="8" s="1"/>
  <c r="X80" i="8" s="1"/>
  <c r="X81" i="8" s="1"/>
  <c r="X82" i="8" s="1"/>
  <c r="X83" i="8" s="1"/>
  <c r="X84" i="8" s="1"/>
  <c r="X85" i="8" s="1"/>
  <c r="X86" i="8" s="1"/>
  <c r="X87" i="8" s="1"/>
  <c r="X88" i="8" s="1"/>
  <c r="X89" i="8" s="1"/>
  <c r="X90" i="8" s="1"/>
  <c r="X91" i="8" s="1"/>
  <c r="X92" i="8" s="1"/>
  <c r="X93" i="8" s="1"/>
  <c r="X94" i="8" s="1"/>
  <c r="X95" i="8" s="1"/>
  <c r="X96" i="8" s="1"/>
  <c r="X97" i="8" s="1"/>
  <c r="X98" i="8" s="1"/>
  <c r="X99" i="8" s="1"/>
  <c r="X100" i="8" s="1"/>
  <c r="X101" i="8" s="1"/>
  <c r="X102" i="8" s="1"/>
  <c r="X103" i="8" s="1"/>
  <c r="X104" i="8" s="1"/>
  <c r="X105" i="8" s="1"/>
  <c r="X106" i="8" s="1"/>
  <c r="X107" i="8" s="1"/>
  <c r="X108" i="8" s="1"/>
  <c r="X109" i="8" s="1"/>
  <c r="X110" i="8" s="1"/>
  <c r="X111" i="8" s="1"/>
  <c r="X112" i="8" s="1"/>
  <c r="X113" i="8" s="1"/>
  <c r="X114" i="8" s="1"/>
  <c r="X115" i="8" s="1"/>
  <c r="X116" i="8" s="1"/>
  <c r="X117" i="8" s="1"/>
  <c r="X118" i="8" s="1"/>
  <c r="X119" i="8" s="1"/>
  <c r="X120" i="8" s="1"/>
  <c r="X121" i="8" s="1"/>
  <c r="X122" i="8" s="1"/>
  <c r="X123" i="8" s="1"/>
  <c r="X124" i="8" s="1"/>
  <c r="X125" i="8" s="1"/>
  <c r="X126" i="8" s="1"/>
  <c r="X127" i="8" s="1"/>
  <c r="X128" i="8" s="1"/>
  <c r="X129" i="8" s="1"/>
  <c r="X130" i="8" s="1"/>
  <c r="X131" i="8" s="1"/>
  <c r="X132" i="8" s="1"/>
  <c r="X133" i="8" s="1"/>
  <c r="X134" i="8" s="1"/>
  <c r="X135" i="8" s="1"/>
  <c r="X6" i="8"/>
  <c r="S7" i="8"/>
  <c r="S8" i="8" s="1"/>
  <c r="S9" i="8" s="1"/>
  <c r="S10" i="8" s="1"/>
  <c r="S11" i="8" s="1"/>
  <c r="S12" i="8" s="1"/>
  <c r="S13" i="8" s="1"/>
  <c r="S14" i="8" s="1"/>
  <c r="S15" i="8" s="1"/>
  <c r="S16" i="8" s="1"/>
  <c r="S17" i="8" s="1"/>
  <c r="S18" i="8" s="1"/>
  <c r="S19" i="8" s="1"/>
  <c r="S20" i="8" s="1"/>
  <c r="S21" i="8" s="1"/>
  <c r="S22" i="8" s="1"/>
  <c r="S23" i="8" s="1"/>
  <c r="S24" i="8" s="1"/>
  <c r="S25" i="8" s="1"/>
  <c r="S26" i="8" s="1"/>
  <c r="S27" i="8" s="1"/>
  <c r="S28" i="8" s="1"/>
  <c r="S29" i="8" s="1"/>
  <c r="S30" i="8" s="1"/>
  <c r="S31" i="8" s="1"/>
  <c r="S32" i="8" s="1"/>
  <c r="S33" i="8" s="1"/>
  <c r="S34" i="8" s="1"/>
  <c r="S35" i="8" s="1"/>
  <c r="S36" i="8" s="1"/>
  <c r="S37" i="8" s="1"/>
  <c r="S38" i="8" s="1"/>
  <c r="S39" i="8" s="1"/>
  <c r="S40" i="8" s="1"/>
  <c r="S41" i="8" s="1"/>
  <c r="S42" i="8" s="1"/>
  <c r="S43" i="8" s="1"/>
  <c r="S44" i="8" s="1"/>
  <c r="S45" i="8" s="1"/>
  <c r="S46" i="8" s="1"/>
  <c r="S47" i="8" s="1"/>
  <c r="S48" i="8" s="1"/>
  <c r="S49" i="8" s="1"/>
  <c r="S50" i="8" s="1"/>
  <c r="S51" i="8" s="1"/>
  <c r="S52" i="8" s="1"/>
  <c r="S53" i="8" s="1"/>
  <c r="S54" i="8" s="1"/>
  <c r="S55" i="8" s="1"/>
  <c r="S56" i="8" s="1"/>
  <c r="S57" i="8" s="1"/>
  <c r="S58" i="8" s="1"/>
  <c r="S59" i="8" s="1"/>
  <c r="S60" i="8" s="1"/>
  <c r="S61" i="8" s="1"/>
  <c r="S62" i="8" s="1"/>
  <c r="S63" i="8" s="1"/>
  <c r="S64" i="8" s="1"/>
  <c r="S65" i="8" s="1"/>
  <c r="S66" i="8" s="1"/>
  <c r="S67" i="8" s="1"/>
  <c r="S68" i="8" s="1"/>
  <c r="S69" i="8" s="1"/>
  <c r="S70" i="8" s="1"/>
  <c r="S71" i="8" s="1"/>
  <c r="S72" i="8" s="1"/>
  <c r="S73" i="8" s="1"/>
  <c r="S74" i="8" s="1"/>
  <c r="S75" i="8" s="1"/>
  <c r="S76" i="8" s="1"/>
  <c r="S77" i="8" s="1"/>
  <c r="S78" i="8" s="1"/>
  <c r="S79" i="8" s="1"/>
  <c r="S80" i="8" s="1"/>
  <c r="S81" i="8" s="1"/>
  <c r="S82" i="8" s="1"/>
  <c r="S83" i="8" s="1"/>
  <c r="S84" i="8" s="1"/>
  <c r="S85" i="8" s="1"/>
  <c r="S86" i="8" s="1"/>
  <c r="S87" i="8" s="1"/>
  <c r="S88" i="8" s="1"/>
  <c r="S89" i="8" s="1"/>
  <c r="S90" i="8" s="1"/>
  <c r="S91" i="8" s="1"/>
  <c r="S92" i="8" s="1"/>
  <c r="S93" i="8" s="1"/>
  <c r="S94" i="8" s="1"/>
  <c r="S95" i="8" s="1"/>
  <c r="S96" i="8" s="1"/>
  <c r="S97" i="8" s="1"/>
  <c r="S98" i="8" s="1"/>
  <c r="S99" i="8" s="1"/>
  <c r="S100" i="8" s="1"/>
  <c r="S101" i="8" s="1"/>
  <c r="S102" i="8" s="1"/>
  <c r="S103" i="8" s="1"/>
  <c r="S104" i="8" s="1"/>
  <c r="S105" i="8" s="1"/>
  <c r="S106" i="8" s="1"/>
  <c r="S107" i="8" s="1"/>
  <c r="S108" i="8" s="1"/>
  <c r="S109" i="8" s="1"/>
  <c r="S110" i="8" s="1"/>
  <c r="S111" i="8" s="1"/>
  <c r="S112" i="8" s="1"/>
  <c r="S113" i="8" s="1"/>
  <c r="S114" i="8" s="1"/>
  <c r="S115" i="8" s="1"/>
  <c r="S116" i="8" s="1"/>
  <c r="S117" i="8" s="1"/>
  <c r="S118" i="8" s="1"/>
  <c r="S119" i="8" s="1"/>
  <c r="S120" i="8" s="1"/>
  <c r="S121" i="8" s="1"/>
  <c r="S122" i="8" s="1"/>
  <c r="S123" i="8" s="1"/>
  <c r="S124" i="8" s="1"/>
  <c r="S125" i="8" s="1"/>
  <c r="S126" i="8" s="1"/>
  <c r="S127" i="8" s="1"/>
  <c r="S128" i="8" s="1"/>
  <c r="S129" i="8" s="1"/>
  <c r="S130" i="8" s="1"/>
  <c r="S131" i="8" s="1"/>
  <c r="S132" i="8" s="1"/>
  <c r="S133" i="8" s="1"/>
  <c r="S134" i="8" s="1"/>
  <c r="S135" i="8" s="1"/>
  <c r="S6" i="8"/>
  <c r="O7" i="8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O63" i="8" s="1"/>
  <c r="O64" i="8" s="1"/>
  <c r="O65" i="8" s="1"/>
  <c r="O66" i="8" s="1"/>
  <c r="O67" i="8" s="1"/>
  <c r="O68" i="8" s="1"/>
  <c r="O69" i="8" s="1"/>
  <c r="O70" i="8" s="1"/>
  <c r="O71" i="8" s="1"/>
  <c r="O72" i="8" s="1"/>
  <c r="O73" i="8" s="1"/>
  <c r="O74" i="8" s="1"/>
  <c r="O75" i="8" s="1"/>
  <c r="O76" i="8" s="1"/>
  <c r="O77" i="8" s="1"/>
  <c r="O78" i="8" s="1"/>
  <c r="O79" i="8" s="1"/>
  <c r="O80" i="8" s="1"/>
  <c r="O81" i="8" s="1"/>
  <c r="O82" i="8" s="1"/>
  <c r="O83" i="8" s="1"/>
  <c r="O84" i="8" s="1"/>
  <c r="O85" i="8" s="1"/>
  <c r="O86" i="8" s="1"/>
  <c r="O87" i="8" s="1"/>
  <c r="O88" i="8" s="1"/>
  <c r="O89" i="8" s="1"/>
  <c r="O90" i="8" s="1"/>
  <c r="O91" i="8" s="1"/>
  <c r="O92" i="8" s="1"/>
  <c r="O93" i="8" s="1"/>
  <c r="O94" i="8" s="1"/>
  <c r="O95" i="8" s="1"/>
  <c r="O96" i="8" s="1"/>
  <c r="O97" i="8" s="1"/>
  <c r="O98" i="8" s="1"/>
  <c r="O99" i="8" s="1"/>
  <c r="O100" i="8" s="1"/>
  <c r="O101" i="8" s="1"/>
  <c r="O102" i="8" s="1"/>
  <c r="O103" i="8" s="1"/>
  <c r="O104" i="8" s="1"/>
  <c r="O105" i="8" s="1"/>
  <c r="O106" i="8" s="1"/>
  <c r="O107" i="8" s="1"/>
  <c r="O108" i="8" s="1"/>
  <c r="O109" i="8" s="1"/>
  <c r="O110" i="8" s="1"/>
  <c r="O111" i="8" s="1"/>
  <c r="O112" i="8" s="1"/>
  <c r="O113" i="8" s="1"/>
  <c r="O114" i="8" s="1"/>
  <c r="O115" i="8" s="1"/>
  <c r="O116" i="8" s="1"/>
  <c r="O117" i="8" s="1"/>
  <c r="O118" i="8" s="1"/>
  <c r="O119" i="8" s="1"/>
  <c r="O120" i="8" s="1"/>
  <c r="O121" i="8" s="1"/>
  <c r="O122" i="8" s="1"/>
  <c r="O123" i="8" s="1"/>
  <c r="O124" i="8" s="1"/>
  <c r="O125" i="8" s="1"/>
  <c r="O126" i="8" s="1"/>
  <c r="O127" i="8" s="1"/>
  <c r="O128" i="8" s="1"/>
  <c r="O129" i="8" s="1"/>
  <c r="O130" i="8" s="1"/>
  <c r="O131" i="8" s="1"/>
  <c r="O132" i="8" s="1"/>
  <c r="O133" i="8" s="1"/>
  <c r="O134" i="8" s="1"/>
  <c r="O135" i="8" s="1"/>
  <c r="O6" i="8"/>
  <c r="AA7" i="8"/>
  <c r="AA8" i="8" s="1"/>
  <c r="AA9" i="8" s="1"/>
  <c r="AA10" i="8" s="1"/>
  <c r="AA11" i="8" s="1"/>
  <c r="AA12" i="8" s="1"/>
  <c r="AA13" i="8" s="1"/>
  <c r="AA14" i="8" s="1"/>
  <c r="AA15" i="8" s="1"/>
  <c r="AA16" i="8" s="1"/>
  <c r="AA17" i="8" s="1"/>
  <c r="AA18" i="8" s="1"/>
  <c r="AA19" i="8" s="1"/>
  <c r="AA20" i="8" s="1"/>
  <c r="AA21" i="8" s="1"/>
  <c r="AA22" i="8" s="1"/>
  <c r="AA23" i="8" s="1"/>
  <c r="AA24" i="8" s="1"/>
  <c r="AA25" i="8" s="1"/>
  <c r="AA26" i="8" s="1"/>
  <c r="AA27" i="8" s="1"/>
  <c r="AA28" i="8" s="1"/>
  <c r="AA29" i="8" s="1"/>
  <c r="AA30" i="8" s="1"/>
  <c r="AA31" i="8" s="1"/>
  <c r="AA32" i="8" s="1"/>
  <c r="AA33" i="8" s="1"/>
  <c r="AA34" i="8" s="1"/>
  <c r="AA35" i="8" s="1"/>
  <c r="AA36" i="8" s="1"/>
  <c r="AA37" i="8" s="1"/>
  <c r="AA38" i="8" s="1"/>
  <c r="AA39" i="8" s="1"/>
  <c r="AA40" i="8" s="1"/>
  <c r="AA41" i="8" s="1"/>
  <c r="AA42" i="8" s="1"/>
  <c r="AA43" i="8" s="1"/>
  <c r="AA44" i="8" s="1"/>
  <c r="AA45" i="8" s="1"/>
  <c r="AA46" i="8" s="1"/>
  <c r="AA47" i="8" s="1"/>
  <c r="AA48" i="8" s="1"/>
  <c r="AA49" i="8" s="1"/>
  <c r="AA50" i="8" s="1"/>
  <c r="AA51" i="8" s="1"/>
  <c r="AA52" i="8" s="1"/>
  <c r="AA53" i="8" s="1"/>
  <c r="AA54" i="8" s="1"/>
  <c r="AA55" i="8" s="1"/>
  <c r="AA56" i="8" s="1"/>
  <c r="AA57" i="8" s="1"/>
  <c r="AA58" i="8" s="1"/>
  <c r="AA59" i="8" s="1"/>
  <c r="AA60" i="8" s="1"/>
  <c r="AA61" i="8" s="1"/>
  <c r="AA62" i="8" s="1"/>
  <c r="AA63" i="8" s="1"/>
  <c r="AA64" i="8" s="1"/>
  <c r="AA65" i="8" s="1"/>
  <c r="AA66" i="8" s="1"/>
  <c r="AA67" i="8" s="1"/>
  <c r="AA68" i="8" s="1"/>
  <c r="AA69" i="8" s="1"/>
  <c r="AA70" i="8" s="1"/>
  <c r="AA71" i="8" s="1"/>
  <c r="AA72" i="8" s="1"/>
  <c r="AA73" i="8" s="1"/>
  <c r="AA74" i="8" s="1"/>
  <c r="AA75" i="8" s="1"/>
  <c r="AA76" i="8" s="1"/>
  <c r="AA77" i="8" s="1"/>
  <c r="AA78" i="8" s="1"/>
  <c r="AA79" i="8" s="1"/>
  <c r="AA80" i="8" s="1"/>
  <c r="AA81" i="8" s="1"/>
  <c r="AA82" i="8" s="1"/>
  <c r="AA83" i="8" s="1"/>
  <c r="AA84" i="8" s="1"/>
  <c r="AA85" i="8" s="1"/>
  <c r="AA86" i="8" s="1"/>
  <c r="AA87" i="8" s="1"/>
  <c r="AA88" i="8" s="1"/>
  <c r="AA89" i="8" s="1"/>
  <c r="AA90" i="8" s="1"/>
  <c r="AA91" i="8" s="1"/>
  <c r="AA92" i="8" s="1"/>
  <c r="AA93" i="8" s="1"/>
  <c r="AA94" i="8" s="1"/>
  <c r="AA95" i="8" s="1"/>
  <c r="AA96" i="8" s="1"/>
  <c r="AA97" i="8" s="1"/>
  <c r="AA98" i="8" s="1"/>
  <c r="AA99" i="8" s="1"/>
  <c r="AA100" i="8" s="1"/>
  <c r="AA101" i="8" s="1"/>
  <c r="AA102" i="8" s="1"/>
  <c r="AA103" i="8" s="1"/>
  <c r="AA104" i="8" s="1"/>
  <c r="AA105" i="8" s="1"/>
  <c r="AA106" i="8" s="1"/>
  <c r="AA107" i="8" s="1"/>
  <c r="AA108" i="8" s="1"/>
  <c r="AA109" i="8" s="1"/>
  <c r="AA110" i="8" s="1"/>
  <c r="AA111" i="8" s="1"/>
  <c r="AA112" i="8" s="1"/>
  <c r="AA113" i="8" s="1"/>
  <c r="AA114" i="8" s="1"/>
  <c r="AA115" i="8" s="1"/>
  <c r="AA116" i="8" s="1"/>
  <c r="AA117" i="8" s="1"/>
  <c r="AA118" i="8" s="1"/>
  <c r="AA119" i="8" s="1"/>
  <c r="AA120" i="8" s="1"/>
  <c r="AA121" i="8" s="1"/>
  <c r="AA122" i="8" s="1"/>
  <c r="AA123" i="8" s="1"/>
  <c r="AA124" i="8" s="1"/>
  <c r="AA125" i="8" s="1"/>
  <c r="AA126" i="8" s="1"/>
  <c r="AA127" i="8" s="1"/>
  <c r="AA128" i="8" s="1"/>
  <c r="AA129" i="8" s="1"/>
  <c r="AA130" i="8" s="1"/>
  <c r="AA131" i="8" s="1"/>
  <c r="AA132" i="8" s="1"/>
  <c r="AA133" i="8" s="1"/>
  <c r="AA134" i="8" s="1"/>
  <c r="AA135" i="8" s="1"/>
  <c r="AA6" i="8"/>
  <c r="Z135" i="8"/>
  <c r="Z134" i="8"/>
  <c r="Z133" i="8"/>
  <c r="Z132" i="8"/>
  <c r="Z131" i="8"/>
  <c r="Z130" i="8"/>
  <c r="Z129" i="8"/>
  <c r="Z128" i="8"/>
  <c r="Z127" i="8"/>
  <c r="Z126" i="8"/>
  <c r="Z125" i="8"/>
  <c r="Z124" i="8"/>
  <c r="Z123" i="8"/>
  <c r="Z122" i="8"/>
  <c r="Z121" i="8"/>
  <c r="Z120" i="8"/>
  <c r="Z119" i="8"/>
  <c r="Z118" i="8"/>
  <c r="Z117" i="8"/>
  <c r="Z116" i="8"/>
  <c r="Z115" i="8"/>
  <c r="Z114" i="8"/>
  <c r="Z113" i="8"/>
  <c r="Z112" i="8"/>
  <c r="Z111" i="8"/>
  <c r="Z110" i="8"/>
  <c r="Z109" i="8"/>
  <c r="Z108" i="8"/>
  <c r="Z107" i="8"/>
  <c r="Z106" i="8"/>
  <c r="Z105" i="8"/>
  <c r="Z104" i="8"/>
  <c r="Z103" i="8"/>
  <c r="Z102" i="8"/>
  <c r="Z101" i="8"/>
  <c r="Z100" i="8"/>
  <c r="Z99" i="8"/>
  <c r="Z98" i="8"/>
  <c r="Z97" i="8"/>
  <c r="Z96" i="8"/>
  <c r="Z95" i="8"/>
  <c r="Z94" i="8"/>
  <c r="Z93" i="8"/>
  <c r="Z92" i="8"/>
  <c r="Z91" i="8"/>
  <c r="Z90" i="8"/>
  <c r="Z89" i="8"/>
  <c r="Z88" i="8"/>
  <c r="Z87" i="8"/>
  <c r="Z86" i="8"/>
  <c r="Z85" i="8"/>
  <c r="Z84" i="8"/>
  <c r="Z83" i="8"/>
  <c r="Z82" i="8"/>
  <c r="Z81" i="8"/>
  <c r="Z80" i="8"/>
  <c r="Z79" i="8"/>
  <c r="Z78" i="8"/>
  <c r="Z77" i="8"/>
  <c r="Z76" i="8"/>
  <c r="Z75" i="8"/>
  <c r="Z74" i="8"/>
  <c r="Z73" i="8"/>
  <c r="Z72" i="8"/>
  <c r="Z71" i="8"/>
  <c r="Z70" i="8"/>
  <c r="Z69" i="8"/>
  <c r="Z68" i="8"/>
  <c r="Z67" i="8"/>
  <c r="Z66" i="8"/>
  <c r="Z65" i="8"/>
  <c r="Z64" i="8"/>
  <c r="Z63" i="8"/>
  <c r="Z62" i="8"/>
  <c r="Z61" i="8"/>
  <c r="Z60" i="8"/>
  <c r="Z59" i="8"/>
  <c r="Z58" i="8"/>
  <c r="Z57" i="8"/>
  <c r="Z56" i="8"/>
  <c r="Z55" i="8"/>
  <c r="Z54" i="8"/>
  <c r="Z53" i="8"/>
  <c r="Z52" i="8"/>
  <c r="Z51" i="8"/>
  <c r="Z50" i="8"/>
  <c r="Z49" i="8"/>
  <c r="Z48" i="8"/>
  <c r="Z4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Z26" i="8"/>
  <c r="Z25" i="8"/>
  <c r="Z24" i="8"/>
  <c r="Z23" i="8"/>
  <c r="Z22" i="8"/>
  <c r="Z21" i="8"/>
  <c r="Z20" i="8"/>
  <c r="Z19" i="8"/>
  <c r="Z18" i="8"/>
  <c r="Z17" i="8"/>
  <c r="Z16" i="8"/>
  <c r="Z15" i="8"/>
  <c r="Z14" i="8"/>
  <c r="Z13" i="8"/>
  <c r="Z12" i="8"/>
  <c r="Z11" i="8"/>
  <c r="Z10" i="8"/>
  <c r="Z9" i="8"/>
  <c r="Z8" i="8"/>
  <c r="Z7" i="8"/>
  <c r="Z6" i="8"/>
  <c r="W7" i="8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W43" i="8" s="1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W93" i="8" s="1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6" i="8"/>
  <c r="V135" i="8"/>
  <c r="V134" i="8"/>
  <c r="V133" i="8"/>
  <c r="V132" i="8"/>
  <c r="V131" i="8"/>
  <c r="V130" i="8"/>
  <c r="V129" i="8"/>
  <c r="V128" i="8"/>
  <c r="V127" i="8"/>
  <c r="V126" i="8"/>
  <c r="V125" i="8"/>
  <c r="V124" i="8"/>
  <c r="V123" i="8"/>
  <c r="V122" i="8"/>
  <c r="V121" i="8"/>
  <c r="V120" i="8"/>
  <c r="V119" i="8"/>
  <c r="V118" i="8"/>
  <c r="V117" i="8"/>
  <c r="V116" i="8"/>
  <c r="V115" i="8"/>
  <c r="V114" i="8"/>
  <c r="V113" i="8"/>
  <c r="V112" i="8"/>
  <c r="V111" i="8"/>
  <c r="V110" i="8"/>
  <c r="V109" i="8"/>
  <c r="V108" i="8"/>
  <c r="V107" i="8"/>
  <c r="V106" i="8"/>
  <c r="V105" i="8"/>
  <c r="V104" i="8"/>
  <c r="V103" i="8"/>
  <c r="V102" i="8"/>
  <c r="V101" i="8"/>
  <c r="V100" i="8"/>
  <c r="V99" i="8"/>
  <c r="V98" i="8"/>
  <c r="V97" i="8"/>
  <c r="V96" i="8"/>
  <c r="V95" i="8"/>
  <c r="V94" i="8"/>
  <c r="V93" i="8"/>
  <c r="V92" i="8"/>
  <c r="V91" i="8"/>
  <c r="V90" i="8"/>
  <c r="V89" i="8"/>
  <c r="V88" i="8"/>
  <c r="V87" i="8"/>
  <c r="V86" i="8"/>
  <c r="V85" i="8"/>
  <c r="V84" i="8"/>
  <c r="V83" i="8"/>
  <c r="V82" i="8"/>
  <c r="V81" i="8"/>
  <c r="V80" i="8"/>
  <c r="V79" i="8"/>
  <c r="V78" i="8"/>
  <c r="V77" i="8"/>
  <c r="V76" i="8"/>
  <c r="V75" i="8"/>
  <c r="V74" i="8"/>
  <c r="V73" i="8"/>
  <c r="V72" i="8"/>
  <c r="V71" i="8"/>
  <c r="V70" i="8"/>
  <c r="V69" i="8"/>
  <c r="V68" i="8"/>
  <c r="V67" i="8"/>
  <c r="V66" i="8"/>
  <c r="V65" i="8"/>
  <c r="V64" i="8"/>
  <c r="V63" i="8"/>
  <c r="V62" i="8"/>
  <c r="V61" i="8"/>
  <c r="V60" i="8"/>
  <c r="V59" i="8"/>
  <c r="V58" i="8"/>
  <c r="V57" i="8"/>
  <c r="V56" i="8"/>
  <c r="V55" i="8"/>
  <c r="V54" i="8"/>
  <c r="V53" i="8"/>
  <c r="V52" i="8"/>
  <c r="V51" i="8"/>
  <c r="V50" i="8"/>
  <c r="V49" i="8"/>
  <c r="V48" i="8"/>
  <c r="V4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V26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R7" i="8"/>
  <c r="R8" i="8" s="1"/>
  <c r="R9" i="8" s="1"/>
  <c r="R10" i="8" s="1"/>
  <c r="R11" i="8" s="1"/>
  <c r="R12" i="8" s="1"/>
  <c r="R13" i="8" s="1"/>
  <c r="R14" i="8" s="1"/>
  <c r="R15" i="8" s="1"/>
  <c r="R16" i="8" s="1"/>
  <c r="R17" i="8" s="1"/>
  <c r="R18" i="8" s="1"/>
  <c r="R19" i="8" s="1"/>
  <c r="R20" i="8" s="1"/>
  <c r="R21" i="8" s="1"/>
  <c r="R22" i="8" s="1"/>
  <c r="R23" i="8" s="1"/>
  <c r="R24" i="8" s="1"/>
  <c r="R25" i="8" s="1"/>
  <c r="R26" i="8" s="1"/>
  <c r="R27" i="8" s="1"/>
  <c r="R28" i="8" s="1"/>
  <c r="R29" i="8" s="1"/>
  <c r="R30" i="8" s="1"/>
  <c r="R31" i="8" s="1"/>
  <c r="R32" i="8" s="1"/>
  <c r="R33" i="8" s="1"/>
  <c r="R34" i="8" s="1"/>
  <c r="R35" i="8" s="1"/>
  <c r="R36" i="8" s="1"/>
  <c r="R37" i="8" s="1"/>
  <c r="R38" i="8" s="1"/>
  <c r="R39" i="8" s="1"/>
  <c r="R40" i="8" s="1"/>
  <c r="R41" i="8" s="1"/>
  <c r="R42" i="8" s="1"/>
  <c r="R43" i="8" s="1"/>
  <c r="R44" i="8" s="1"/>
  <c r="R45" i="8" s="1"/>
  <c r="R46" i="8" s="1"/>
  <c r="R47" i="8" s="1"/>
  <c r="R48" i="8" s="1"/>
  <c r="R49" i="8" s="1"/>
  <c r="R50" i="8" s="1"/>
  <c r="R51" i="8" s="1"/>
  <c r="R52" i="8" s="1"/>
  <c r="R53" i="8" s="1"/>
  <c r="R54" i="8" s="1"/>
  <c r="R55" i="8" s="1"/>
  <c r="R56" i="8" s="1"/>
  <c r="R57" i="8" s="1"/>
  <c r="R58" i="8" s="1"/>
  <c r="R59" i="8" s="1"/>
  <c r="R60" i="8" s="1"/>
  <c r="R61" i="8" s="1"/>
  <c r="R62" i="8" s="1"/>
  <c r="R63" i="8" s="1"/>
  <c r="R64" i="8" s="1"/>
  <c r="R65" i="8" s="1"/>
  <c r="R66" i="8" s="1"/>
  <c r="R67" i="8" s="1"/>
  <c r="R68" i="8" s="1"/>
  <c r="R69" i="8" s="1"/>
  <c r="R70" i="8" s="1"/>
  <c r="R71" i="8" s="1"/>
  <c r="R72" i="8" s="1"/>
  <c r="R73" i="8" s="1"/>
  <c r="R74" i="8" s="1"/>
  <c r="R75" i="8" s="1"/>
  <c r="R76" i="8" s="1"/>
  <c r="R77" i="8" s="1"/>
  <c r="R78" i="8" s="1"/>
  <c r="R79" i="8" s="1"/>
  <c r="R80" i="8" s="1"/>
  <c r="R81" i="8" s="1"/>
  <c r="R82" i="8" s="1"/>
  <c r="R83" i="8" s="1"/>
  <c r="R84" i="8" s="1"/>
  <c r="R85" i="8" s="1"/>
  <c r="R86" i="8" s="1"/>
  <c r="R87" i="8" s="1"/>
  <c r="R88" i="8" s="1"/>
  <c r="R89" i="8" s="1"/>
  <c r="R90" i="8" s="1"/>
  <c r="R91" i="8" s="1"/>
  <c r="R92" i="8" s="1"/>
  <c r="R93" i="8" s="1"/>
  <c r="R94" i="8" s="1"/>
  <c r="R95" i="8" s="1"/>
  <c r="R96" i="8" s="1"/>
  <c r="R97" i="8" s="1"/>
  <c r="R98" i="8" s="1"/>
  <c r="R99" i="8" s="1"/>
  <c r="R100" i="8" s="1"/>
  <c r="R101" i="8" s="1"/>
  <c r="R102" i="8" s="1"/>
  <c r="R103" i="8" s="1"/>
  <c r="R104" i="8" s="1"/>
  <c r="R105" i="8" s="1"/>
  <c r="R106" i="8" s="1"/>
  <c r="R107" i="8" s="1"/>
  <c r="R108" i="8" s="1"/>
  <c r="R109" i="8" s="1"/>
  <c r="R110" i="8" s="1"/>
  <c r="R111" i="8" s="1"/>
  <c r="R112" i="8" s="1"/>
  <c r="R113" i="8" s="1"/>
  <c r="R114" i="8" s="1"/>
  <c r="R115" i="8" s="1"/>
  <c r="R116" i="8" s="1"/>
  <c r="R117" i="8" s="1"/>
  <c r="R118" i="8" s="1"/>
  <c r="R119" i="8" s="1"/>
  <c r="R120" i="8" s="1"/>
  <c r="R121" i="8" s="1"/>
  <c r="R122" i="8" s="1"/>
  <c r="R123" i="8" s="1"/>
  <c r="R124" i="8" s="1"/>
  <c r="R125" i="8" s="1"/>
  <c r="R126" i="8" s="1"/>
  <c r="R127" i="8" s="1"/>
  <c r="R128" i="8" s="1"/>
  <c r="R129" i="8" s="1"/>
  <c r="R130" i="8" s="1"/>
  <c r="R131" i="8" s="1"/>
  <c r="R132" i="8" s="1"/>
  <c r="R133" i="8" s="1"/>
  <c r="R134" i="8" s="1"/>
  <c r="R135" i="8" s="1"/>
  <c r="R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N7" i="8"/>
  <c r="N8" i="8" s="1"/>
  <c r="N9" i="8" s="1"/>
  <c r="N10" i="8" s="1"/>
  <c r="N11" i="8" s="1"/>
  <c r="N12" i="8" s="1"/>
  <c r="N13" i="8" s="1"/>
  <c r="N14" i="8" s="1"/>
  <c r="N15" i="8" s="1"/>
  <c r="N16" i="8" s="1"/>
  <c r="N17" i="8" s="1"/>
  <c r="N18" i="8" s="1"/>
  <c r="N19" i="8" s="1"/>
  <c r="N20" i="8" s="1"/>
  <c r="N21" i="8" s="1"/>
  <c r="N22" i="8" s="1"/>
  <c r="N23" i="8" s="1"/>
  <c r="N24" i="8" s="1"/>
  <c r="N25" i="8" s="1"/>
  <c r="N26" i="8" s="1"/>
  <c r="N27" i="8" s="1"/>
  <c r="N28" i="8" s="1"/>
  <c r="N29" i="8" s="1"/>
  <c r="N30" i="8" s="1"/>
  <c r="N31" i="8" s="1"/>
  <c r="N32" i="8" s="1"/>
  <c r="N33" i="8" s="1"/>
  <c r="N34" i="8" s="1"/>
  <c r="N35" i="8" s="1"/>
  <c r="N36" i="8" s="1"/>
  <c r="N37" i="8" s="1"/>
  <c r="N38" i="8" s="1"/>
  <c r="N39" i="8" s="1"/>
  <c r="N40" i="8" s="1"/>
  <c r="N41" i="8" s="1"/>
  <c r="N42" i="8" s="1"/>
  <c r="N43" i="8" s="1"/>
  <c r="N44" i="8" s="1"/>
  <c r="N45" i="8" s="1"/>
  <c r="N46" i="8" s="1"/>
  <c r="N47" i="8" s="1"/>
  <c r="N48" i="8" s="1"/>
  <c r="N49" i="8" s="1"/>
  <c r="N50" i="8" s="1"/>
  <c r="N51" i="8" s="1"/>
  <c r="N52" i="8" s="1"/>
  <c r="N53" i="8" s="1"/>
  <c r="N54" i="8" s="1"/>
  <c r="N55" i="8" s="1"/>
  <c r="N56" i="8" s="1"/>
  <c r="N57" i="8" s="1"/>
  <c r="N58" i="8" s="1"/>
  <c r="N59" i="8" s="1"/>
  <c r="N60" i="8" s="1"/>
  <c r="N61" i="8" s="1"/>
  <c r="N62" i="8" s="1"/>
  <c r="N63" i="8" s="1"/>
  <c r="N64" i="8" s="1"/>
  <c r="N65" i="8" s="1"/>
  <c r="N66" i="8" s="1"/>
  <c r="N67" i="8" s="1"/>
  <c r="N68" i="8" s="1"/>
  <c r="N69" i="8" s="1"/>
  <c r="N70" i="8" s="1"/>
  <c r="N71" i="8" s="1"/>
  <c r="N72" i="8" s="1"/>
  <c r="N73" i="8" s="1"/>
  <c r="N74" i="8" s="1"/>
  <c r="N75" i="8" s="1"/>
  <c r="N76" i="8" s="1"/>
  <c r="N77" i="8" s="1"/>
  <c r="N78" i="8" s="1"/>
  <c r="N79" i="8" s="1"/>
  <c r="N80" i="8" s="1"/>
  <c r="N81" i="8" s="1"/>
  <c r="N82" i="8" s="1"/>
  <c r="N83" i="8" s="1"/>
  <c r="N84" i="8" s="1"/>
  <c r="N85" i="8" s="1"/>
  <c r="N86" i="8" s="1"/>
  <c r="N87" i="8" s="1"/>
  <c r="N88" i="8" s="1"/>
  <c r="N89" i="8" s="1"/>
  <c r="N90" i="8" s="1"/>
  <c r="N91" i="8" s="1"/>
  <c r="N92" i="8" s="1"/>
  <c r="N93" i="8" s="1"/>
  <c r="N94" i="8" s="1"/>
  <c r="N95" i="8" s="1"/>
  <c r="N96" i="8" s="1"/>
  <c r="N97" i="8" s="1"/>
  <c r="N98" i="8" s="1"/>
  <c r="N99" i="8" s="1"/>
  <c r="N100" i="8" s="1"/>
  <c r="N101" i="8" s="1"/>
  <c r="N102" i="8" s="1"/>
  <c r="N103" i="8" s="1"/>
  <c r="N104" i="8" s="1"/>
  <c r="N105" i="8" s="1"/>
  <c r="N106" i="8" s="1"/>
  <c r="N107" i="8" s="1"/>
  <c r="N108" i="8" s="1"/>
  <c r="N109" i="8" s="1"/>
  <c r="N110" i="8" s="1"/>
  <c r="N111" i="8" s="1"/>
  <c r="N112" i="8" s="1"/>
  <c r="N113" i="8" s="1"/>
  <c r="N114" i="8" s="1"/>
  <c r="N115" i="8" s="1"/>
  <c r="N116" i="8" s="1"/>
  <c r="N117" i="8" s="1"/>
  <c r="N118" i="8" s="1"/>
  <c r="N119" i="8" s="1"/>
  <c r="N120" i="8" s="1"/>
  <c r="N121" i="8" s="1"/>
  <c r="N122" i="8" s="1"/>
  <c r="N123" i="8" s="1"/>
  <c r="N124" i="8" s="1"/>
  <c r="N125" i="8" s="1"/>
  <c r="N126" i="8" s="1"/>
  <c r="N127" i="8" s="1"/>
  <c r="N128" i="8" s="1"/>
  <c r="N129" i="8" s="1"/>
  <c r="N130" i="8" s="1"/>
  <c r="N131" i="8" s="1"/>
  <c r="N132" i="8" s="1"/>
  <c r="N133" i="8" s="1"/>
  <c r="N134" i="8" s="1"/>
  <c r="N135" i="8" s="1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N6" i="8"/>
  <c r="M6" i="8"/>
  <c r="Y15" i="8" l="1"/>
  <c r="Y39" i="8"/>
  <c r="Y67" i="8"/>
  <c r="Y91" i="8"/>
  <c r="Y115" i="8"/>
  <c r="Y16" i="8"/>
  <c r="Y44" i="8"/>
  <c r="Y68" i="8"/>
  <c r="Y92" i="8"/>
  <c r="Y116" i="8"/>
  <c r="Y17" i="8"/>
  <c r="Y45" i="8"/>
  <c r="Y69" i="8"/>
  <c r="Y93" i="8"/>
  <c r="Y117" i="8"/>
  <c r="Y18" i="8"/>
  <c r="Y46" i="8"/>
  <c r="Y70" i="8"/>
  <c r="Y94" i="8"/>
  <c r="Y118" i="8"/>
  <c r="Y47" i="8"/>
  <c r="Y71" i="8"/>
  <c r="Y95" i="8"/>
  <c r="Y119" i="8"/>
  <c r="Y49" i="8"/>
  <c r="Y73" i="8"/>
  <c r="Y97" i="8"/>
  <c r="Y125" i="8"/>
  <c r="Y50" i="8"/>
  <c r="Y74" i="8"/>
  <c r="Y98" i="8"/>
  <c r="Y20" i="8"/>
  <c r="Y60" i="8"/>
  <c r="Y120" i="8"/>
  <c r="Y21" i="8"/>
  <c r="Y41" i="8"/>
  <c r="Y61" i="8"/>
  <c r="Y81" i="8"/>
  <c r="Y101" i="8"/>
  <c r="Y121" i="8"/>
  <c r="Y40" i="8"/>
  <c r="Y80" i="8"/>
  <c r="Y100" i="8"/>
  <c r="Y22" i="8"/>
  <c r="Y42" i="8"/>
  <c r="Y62" i="8"/>
  <c r="Y82" i="8"/>
  <c r="Y102" i="8"/>
  <c r="Y122" i="8"/>
  <c r="Y23" i="8"/>
  <c r="Y43" i="8"/>
  <c r="Y63" i="8"/>
  <c r="Y83" i="8"/>
  <c r="Y103" i="8"/>
  <c r="M21" i="7"/>
  <c r="N19" i="7"/>
  <c r="K19" i="7"/>
  <c r="H19" i="7"/>
  <c r="E19" i="7"/>
  <c r="I1" i="6" l="1"/>
  <c r="E4" i="6" l="1"/>
  <c r="H4" i="6" s="1"/>
  <c r="J4" i="6" s="1"/>
  <c r="K1" i="6"/>
  <c r="F4" i="6" s="1"/>
  <c r="D4" i="5"/>
  <c r="F4" i="5" s="1"/>
  <c r="D4" i="4"/>
  <c r="D5" i="4" s="1"/>
  <c r="F5" i="3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4" i="3"/>
  <c r="D5" i="3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4" i="3"/>
  <c r="I4" i="6" l="1"/>
  <c r="F5" i="6"/>
  <c r="E5" i="6"/>
  <c r="H5" i="6" s="1"/>
  <c r="J5" i="6" s="1"/>
  <c r="E6" i="6"/>
  <c r="D5" i="5"/>
  <c r="D6" i="4"/>
  <c r="F4" i="4"/>
  <c r="F5" i="4" s="1"/>
  <c r="F6" i="6" l="1"/>
  <c r="I5" i="6"/>
  <c r="E7" i="6"/>
  <c r="H6" i="6"/>
  <c r="J6" i="6" s="1"/>
  <c r="F5" i="5"/>
  <c r="D6" i="5"/>
  <c r="F6" i="4"/>
  <c r="D7" i="4"/>
  <c r="F7" i="6" l="1"/>
  <c r="I6" i="6"/>
  <c r="E8" i="6"/>
  <c r="H7" i="6"/>
  <c r="J7" i="6" s="1"/>
  <c r="D7" i="5"/>
  <c r="F6" i="5"/>
  <c r="D8" i="4"/>
  <c r="F7" i="4"/>
  <c r="F8" i="6" l="1"/>
  <c r="I7" i="6"/>
  <c r="E9" i="6"/>
  <c r="H8" i="6"/>
  <c r="J8" i="6" s="1"/>
  <c r="F7" i="5"/>
  <c r="D8" i="5"/>
  <c r="F8" i="4"/>
  <c r="D9" i="4"/>
  <c r="F9" i="6" l="1"/>
  <c r="I8" i="6"/>
  <c r="E10" i="6"/>
  <c r="H9" i="6"/>
  <c r="J9" i="6" s="1"/>
  <c r="D9" i="5"/>
  <c r="F8" i="5"/>
  <c r="F9" i="4"/>
  <c r="D10" i="4"/>
  <c r="F10" i="6" l="1"/>
  <c r="I9" i="6"/>
  <c r="E11" i="6"/>
  <c r="H10" i="6"/>
  <c r="J10" i="6" s="1"/>
  <c r="D10" i="5"/>
  <c r="F9" i="5"/>
  <c r="D11" i="4"/>
  <c r="F10" i="4"/>
  <c r="F11" i="6" l="1"/>
  <c r="I10" i="6"/>
  <c r="E12" i="6"/>
  <c r="H11" i="6"/>
  <c r="J11" i="6" s="1"/>
  <c r="D11" i="5"/>
  <c r="F10" i="5"/>
  <c r="D12" i="4"/>
  <c r="F11" i="4"/>
  <c r="F12" i="6" l="1"/>
  <c r="I11" i="6"/>
  <c r="E13" i="6"/>
  <c r="H12" i="6"/>
  <c r="J12" i="6" s="1"/>
  <c r="D12" i="5"/>
  <c r="F11" i="5"/>
  <c r="D13" i="4"/>
  <c r="F12" i="4"/>
  <c r="F13" i="6" l="1"/>
  <c r="I12" i="6"/>
  <c r="E14" i="6"/>
  <c r="H13" i="6"/>
  <c r="J13" i="6" s="1"/>
  <c r="D13" i="5"/>
  <c r="F12" i="5"/>
  <c r="F13" i="4"/>
  <c r="D14" i="4"/>
  <c r="F14" i="6" l="1"/>
  <c r="I13" i="6"/>
  <c r="E15" i="6"/>
  <c r="H14" i="6"/>
  <c r="J14" i="6" s="1"/>
  <c r="F13" i="5"/>
  <c r="D14" i="5"/>
  <c r="D15" i="4"/>
  <c r="F14" i="4"/>
  <c r="F15" i="6" l="1"/>
  <c r="I14" i="6"/>
  <c r="E16" i="6"/>
  <c r="H15" i="6"/>
  <c r="J15" i="6" s="1"/>
  <c r="D15" i="5"/>
  <c r="F14" i="5"/>
  <c r="F15" i="4"/>
  <c r="D16" i="4"/>
  <c r="F16" i="6" l="1"/>
  <c r="I15" i="6"/>
  <c r="E17" i="6"/>
  <c r="H16" i="6"/>
  <c r="J16" i="6" s="1"/>
  <c r="F15" i="5"/>
  <c r="D16" i="5"/>
  <c r="F16" i="4"/>
  <c r="D17" i="4"/>
  <c r="F17" i="6" l="1"/>
  <c r="I16" i="6"/>
  <c r="E18" i="6"/>
  <c r="H17" i="6"/>
  <c r="J17" i="6" s="1"/>
  <c r="F16" i="5"/>
  <c r="D17" i="5"/>
  <c r="F17" i="4"/>
  <c r="D18" i="4"/>
  <c r="F18" i="6" l="1"/>
  <c r="I17" i="6"/>
  <c r="E19" i="6"/>
  <c r="H18" i="6"/>
  <c r="J18" i="6" s="1"/>
  <c r="D18" i="5"/>
  <c r="F17" i="5"/>
  <c r="D19" i="4"/>
  <c r="F18" i="4"/>
  <c r="F19" i="6" l="1"/>
  <c r="I18" i="6"/>
  <c r="E20" i="6"/>
  <c r="H19" i="6"/>
  <c r="J19" i="6" s="1"/>
  <c r="D19" i="5"/>
  <c r="F18" i="5"/>
  <c r="D20" i="4"/>
  <c r="F19" i="4"/>
  <c r="F20" i="6" l="1"/>
  <c r="I19" i="6"/>
  <c r="E21" i="6"/>
  <c r="H20" i="6"/>
  <c r="J20" i="6" s="1"/>
  <c r="F19" i="5"/>
  <c r="D20" i="5"/>
  <c r="D21" i="4"/>
  <c r="F20" i="4"/>
  <c r="F21" i="6" l="1"/>
  <c r="I20" i="6"/>
  <c r="E22" i="6"/>
  <c r="H21" i="6"/>
  <c r="J21" i="6" s="1"/>
  <c r="F20" i="5"/>
  <c r="D21" i="5"/>
  <c r="D22" i="4"/>
  <c r="F21" i="4"/>
  <c r="F22" i="6" l="1"/>
  <c r="I21" i="6"/>
  <c r="E23" i="6"/>
  <c r="H22" i="6"/>
  <c r="J22" i="6" s="1"/>
  <c r="F21" i="5"/>
  <c r="D22" i="5"/>
  <c r="D23" i="4"/>
  <c r="F22" i="4"/>
  <c r="F23" i="6" l="1"/>
  <c r="I22" i="6"/>
  <c r="E24" i="6"/>
  <c r="H23" i="6"/>
  <c r="J23" i="6" s="1"/>
  <c r="D23" i="5"/>
  <c r="F22" i="5"/>
  <c r="F23" i="4"/>
  <c r="D24" i="4"/>
  <c r="F24" i="6" l="1"/>
  <c r="I23" i="6"/>
  <c r="E25" i="6"/>
  <c r="H24" i="6"/>
  <c r="J24" i="6" s="1"/>
  <c r="F23" i="5"/>
  <c r="D24" i="5"/>
  <c r="F24" i="4"/>
  <c r="D25" i="4"/>
  <c r="F25" i="6" l="1"/>
  <c r="I24" i="6"/>
  <c r="E26" i="6"/>
  <c r="H25" i="6"/>
  <c r="J25" i="6" s="1"/>
  <c r="D25" i="5"/>
  <c r="F24" i="5"/>
  <c r="F25" i="4"/>
  <c r="D26" i="4"/>
  <c r="F26" i="6" l="1"/>
  <c r="I25" i="6"/>
  <c r="E27" i="6"/>
  <c r="H26" i="6"/>
  <c r="J26" i="6" s="1"/>
  <c r="F25" i="5"/>
  <c r="D26" i="5"/>
  <c r="D27" i="4"/>
  <c r="F26" i="4"/>
  <c r="F27" i="6" l="1"/>
  <c r="I26" i="6"/>
  <c r="E28" i="6"/>
  <c r="H27" i="6"/>
  <c r="J27" i="6" s="1"/>
  <c r="D27" i="5"/>
  <c r="F26" i="5"/>
  <c r="F27" i="4"/>
  <c r="D28" i="4"/>
  <c r="F28" i="6" l="1"/>
  <c r="I27" i="6"/>
  <c r="E29" i="6"/>
  <c r="H28" i="6"/>
  <c r="J28" i="6" s="1"/>
  <c r="F27" i="5"/>
  <c r="D28" i="5"/>
  <c r="D29" i="4"/>
  <c r="F28" i="4"/>
  <c r="F29" i="6" l="1"/>
  <c r="I28" i="6"/>
  <c r="E30" i="6"/>
  <c r="H29" i="6"/>
  <c r="J29" i="6" s="1"/>
  <c r="D29" i="5"/>
  <c r="F28" i="5"/>
  <c r="D30" i="4"/>
  <c r="F29" i="4"/>
  <c r="F30" i="6" l="1"/>
  <c r="I29" i="6"/>
  <c r="E31" i="6"/>
  <c r="H30" i="6"/>
  <c r="J30" i="6" s="1"/>
  <c r="F29" i="5"/>
  <c r="D30" i="5"/>
  <c r="D31" i="4"/>
  <c r="F30" i="4"/>
  <c r="F31" i="6" l="1"/>
  <c r="I30" i="6"/>
  <c r="E32" i="6"/>
  <c r="H31" i="6"/>
  <c r="J31" i="6" s="1"/>
  <c r="D31" i="5"/>
  <c r="F30" i="5"/>
  <c r="F31" i="4"/>
  <c r="D32" i="4"/>
  <c r="F32" i="6" l="1"/>
  <c r="I31" i="6"/>
  <c r="E33" i="6"/>
  <c r="H32" i="6"/>
  <c r="J32" i="6" s="1"/>
  <c r="D32" i="5"/>
  <c r="F31" i="5"/>
  <c r="D33" i="4"/>
  <c r="F32" i="4"/>
  <c r="F33" i="6" l="1"/>
  <c r="I32" i="6"/>
  <c r="E34" i="6"/>
  <c r="H33" i="6"/>
  <c r="J33" i="6" s="1"/>
  <c r="D33" i="5"/>
  <c r="F32" i="5"/>
  <c r="F33" i="4"/>
  <c r="D34" i="4"/>
  <c r="F34" i="6" l="1"/>
  <c r="I33" i="6"/>
  <c r="E35" i="6"/>
  <c r="H34" i="6"/>
  <c r="J34" i="6" s="1"/>
  <c r="F33" i="5"/>
  <c r="D34" i="5"/>
  <c r="F34" i="4"/>
  <c r="D35" i="4"/>
  <c r="F35" i="6" l="1"/>
  <c r="I34" i="6"/>
  <c r="E36" i="6"/>
  <c r="H35" i="6"/>
  <c r="J35" i="6" s="1"/>
  <c r="D35" i="5"/>
  <c r="F34" i="5"/>
  <c r="F35" i="4"/>
  <c r="D36" i="4"/>
  <c r="F36" i="6" l="1"/>
  <c r="I35" i="6"/>
  <c r="E37" i="6"/>
  <c r="H36" i="6"/>
  <c r="J36" i="6" s="1"/>
  <c r="D36" i="5"/>
  <c r="F35" i="5"/>
  <c r="D37" i="4"/>
  <c r="F36" i="4"/>
  <c r="F37" i="6" l="1"/>
  <c r="I36" i="6"/>
  <c r="E38" i="6"/>
  <c r="H37" i="6"/>
  <c r="J37" i="6" s="1"/>
  <c r="F36" i="5"/>
  <c r="D37" i="5"/>
  <c r="F37" i="4"/>
  <c r="D38" i="4"/>
  <c r="F38" i="6" l="1"/>
  <c r="I37" i="6"/>
  <c r="E39" i="6"/>
  <c r="H38" i="6"/>
  <c r="J38" i="6" s="1"/>
  <c r="D38" i="5"/>
  <c r="F37" i="5"/>
  <c r="D39" i="4"/>
  <c r="F38" i="4"/>
  <c r="F39" i="6" l="1"/>
  <c r="I38" i="6"/>
  <c r="E40" i="6"/>
  <c r="H39" i="6"/>
  <c r="J39" i="6" s="1"/>
  <c r="D39" i="5"/>
  <c r="F38" i="5"/>
  <c r="D40" i="4"/>
  <c r="F39" i="4"/>
  <c r="F40" i="6" l="1"/>
  <c r="I39" i="6"/>
  <c r="E41" i="6"/>
  <c r="H40" i="6"/>
  <c r="J40" i="6" s="1"/>
  <c r="D40" i="5"/>
  <c r="F39" i="5"/>
  <c r="D41" i="4"/>
  <c r="F40" i="4"/>
  <c r="F41" i="6" l="1"/>
  <c r="I40" i="6"/>
  <c r="E42" i="6"/>
  <c r="H41" i="6"/>
  <c r="J41" i="6" s="1"/>
  <c r="D41" i="5"/>
  <c r="F40" i="5"/>
  <c r="D42" i="4"/>
  <c r="F41" i="4"/>
  <c r="F42" i="6" l="1"/>
  <c r="I41" i="6"/>
  <c r="E43" i="6"/>
  <c r="H42" i="6"/>
  <c r="J42" i="6" s="1"/>
  <c r="F41" i="5"/>
  <c r="D42" i="5"/>
  <c r="D43" i="4"/>
  <c r="F42" i="4"/>
  <c r="F43" i="6" l="1"/>
  <c r="I42" i="6"/>
  <c r="E44" i="6"/>
  <c r="H43" i="6"/>
  <c r="J43" i="6" s="1"/>
  <c r="D43" i="5"/>
  <c r="F42" i="5"/>
  <c r="F43" i="4"/>
  <c r="D44" i="4"/>
  <c r="F44" i="6" l="1"/>
  <c r="I43" i="6"/>
  <c r="E45" i="6"/>
  <c r="H44" i="6"/>
  <c r="J44" i="6" s="1"/>
  <c r="F43" i="5"/>
  <c r="D44" i="5"/>
  <c r="D45" i="4"/>
  <c r="F44" i="4"/>
  <c r="F45" i="6" l="1"/>
  <c r="I44" i="6"/>
  <c r="E46" i="6"/>
  <c r="H45" i="6"/>
  <c r="J45" i="6" s="1"/>
  <c r="D45" i="5"/>
  <c r="F44" i="5"/>
  <c r="F45" i="4"/>
  <c r="D46" i="4"/>
  <c r="F46" i="6" l="1"/>
  <c r="I45" i="6"/>
  <c r="E47" i="6"/>
  <c r="H46" i="6"/>
  <c r="J46" i="6" s="1"/>
  <c r="D46" i="5"/>
  <c r="F45" i="5"/>
  <c r="D47" i="4"/>
  <c r="F46" i="4"/>
  <c r="F47" i="6" l="1"/>
  <c r="I46" i="6"/>
  <c r="E48" i="6"/>
  <c r="H47" i="6"/>
  <c r="J47" i="6" s="1"/>
  <c r="D47" i="5"/>
  <c r="F46" i="5"/>
  <c r="D48" i="4"/>
  <c r="F47" i="4"/>
  <c r="F48" i="6" l="1"/>
  <c r="I47" i="6"/>
  <c r="E49" i="6"/>
  <c r="H48" i="6"/>
  <c r="J48" i="6" s="1"/>
  <c r="F47" i="5"/>
  <c r="D48" i="5"/>
  <c r="D49" i="4"/>
  <c r="F48" i="4"/>
  <c r="F49" i="6" l="1"/>
  <c r="I48" i="6"/>
  <c r="E50" i="6"/>
  <c r="H49" i="6"/>
  <c r="J49" i="6" s="1"/>
  <c r="D49" i="5"/>
  <c r="F48" i="5"/>
  <c r="F49" i="4"/>
  <c r="D50" i="4"/>
  <c r="F50" i="6" l="1"/>
  <c r="I49" i="6"/>
  <c r="E51" i="6"/>
  <c r="H50" i="6"/>
  <c r="J50" i="6" s="1"/>
  <c r="D50" i="5"/>
  <c r="F49" i="5"/>
  <c r="D51" i="4"/>
  <c r="F50" i="4"/>
  <c r="F51" i="6" l="1"/>
  <c r="I50" i="6"/>
  <c r="E52" i="6"/>
  <c r="H51" i="6"/>
  <c r="J51" i="6" s="1"/>
  <c r="D51" i="5"/>
  <c r="F50" i="5"/>
  <c r="D52" i="4"/>
  <c r="F51" i="4"/>
  <c r="F52" i="6" l="1"/>
  <c r="I51" i="6"/>
  <c r="E53" i="6"/>
  <c r="H52" i="6"/>
  <c r="J52" i="6" s="1"/>
  <c r="F51" i="5"/>
  <c r="D52" i="5"/>
  <c r="D53" i="4"/>
  <c r="F52" i="4"/>
  <c r="F53" i="6" l="1"/>
  <c r="I52" i="6"/>
  <c r="E54" i="6"/>
  <c r="H53" i="6"/>
  <c r="J53" i="6" s="1"/>
  <c r="D53" i="5"/>
  <c r="F52" i="5"/>
  <c r="F53" i="4"/>
  <c r="D54" i="4"/>
  <c r="F54" i="6" l="1"/>
  <c r="I53" i="6"/>
  <c r="E55" i="6"/>
  <c r="H54" i="6"/>
  <c r="J54" i="6" s="1"/>
  <c r="F53" i="5"/>
  <c r="D54" i="5"/>
  <c r="D55" i="4"/>
  <c r="F54" i="4"/>
  <c r="F55" i="6" l="1"/>
  <c r="I54" i="6"/>
  <c r="E56" i="6"/>
  <c r="H55" i="6"/>
  <c r="J55" i="6" s="1"/>
  <c r="D55" i="5"/>
  <c r="F54" i="5"/>
  <c r="F55" i="4"/>
  <c r="D56" i="4"/>
  <c r="F56" i="6" l="1"/>
  <c r="I55" i="6"/>
  <c r="E57" i="6"/>
  <c r="H56" i="6"/>
  <c r="J56" i="6" s="1"/>
  <c r="D56" i="5"/>
  <c r="F55" i="5"/>
  <c r="D57" i="4"/>
  <c r="F56" i="4"/>
  <c r="F57" i="6" l="1"/>
  <c r="I56" i="6"/>
  <c r="E58" i="6"/>
  <c r="H57" i="6"/>
  <c r="J57" i="6" s="1"/>
  <c r="F56" i="5"/>
  <c r="D57" i="5"/>
  <c r="D58" i="4"/>
  <c r="F57" i="4"/>
  <c r="F58" i="6" l="1"/>
  <c r="I57" i="6"/>
  <c r="E59" i="6"/>
  <c r="H58" i="6"/>
  <c r="J58" i="6" s="1"/>
  <c r="D58" i="5"/>
  <c r="F57" i="5"/>
  <c r="D59" i="4"/>
  <c r="F58" i="4"/>
  <c r="F59" i="6" l="1"/>
  <c r="I58" i="6"/>
  <c r="E60" i="6"/>
  <c r="H59" i="6"/>
  <c r="J59" i="6" s="1"/>
  <c r="D59" i="5"/>
  <c r="F58" i="5"/>
  <c r="F59" i="4"/>
  <c r="D60" i="4"/>
  <c r="F60" i="6" l="1"/>
  <c r="I59" i="6"/>
  <c r="E61" i="6"/>
  <c r="H60" i="6"/>
  <c r="J60" i="6" s="1"/>
  <c r="F59" i="5"/>
  <c r="D60" i="5"/>
  <c r="D61" i="4"/>
  <c r="F60" i="4"/>
  <c r="F61" i="6" l="1"/>
  <c r="I60" i="6"/>
  <c r="E62" i="6"/>
  <c r="H61" i="6"/>
  <c r="J61" i="6" s="1"/>
  <c r="F60" i="5"/>
  <c r="D61" i="5"/>
  <c r="D62" i="4"/>
  <c r="F61" i="4"/>
  <c r="F62" i="6" l="1"/>
  <c r="I61" i="6"/>
  <c r="E63" i="6"/>
  <c r="H62" i="6"/>
  <c r="J62" i="6" s="1"/>
  <c r="D62" i="5"/>
  <c r="F61" i="5"/>
  <c r="D63" i="4"/>
  <c r="F62" i="4"/>
  <c r="F63" i="6" l="1"/>
  <c r="I62" i="6"/>
  <c r="E64" i="6"/>
  <c r="H63" i="6"/>
  <c r="J63" i="6" s="1"/>
  <c r="D63" i="5"/>
  <c r="F62" i="5"/>
  <c r="F63" i="4"/>
  <c r="D64" i="4"/>
  <c r="F64" i="6" l="1"/>
  <c r="I63" i="6"/>
  <c r="E65" i="6"/>
  <c r="H64" i="6"/>
  <c r="J64" i="6" s="1"/>
  <c r="F63" i="5"/>
  <c r="D64" i="5"/>
  <c r="F64" i="4"/>
  <c r="D65" i="4"/>
  <c r="F65" i="6" l="1"/>
  <c r="I64" i="6"/>
  <c r="E66" i="6"/>
  <c r="H65" i="6"/>
  <c r="J65" i="6" s="1"/>
  <c r="D65" i="5"/>
  <c r="F64" i="5"/>
  <c r="D66" i="4"/>
  <c r="F65" i="4"/>
  <c r="F66" i="6" l="1"/>
  <c r="I65" i="6"/>
  <c r="E67" i="6"/>
  <c r="H66" i="6"/>
  <c r="J66" i="6" s="1"/>
  <c r="D66" i="5"/>
  <c r="F65" i="5"/>
  <c r="D67" i="4"/>
  <c r="F66" i="4"/>
  <c r="F67" i="6" l="1"/>
  <c r="I66" i="6"/>
  <c r="E68" i="6"/>
  <c r="H67" i="6"/>
  <c r="J67" i="6" s="1"/>
  <c r="D67" i="5"/>
  <c r="F66" i="5"/>
  <c r="D68" i="4"/>
  <c r="F67" i="4"/>
  <c r="F68" i="6" l="1"/>
  <c r="I67" i="6"/>
  <c r="E69" i="6"/>
  <c r="H68" i="6"/>
  <c r="J68" i="6" s="1"/>
  <c r="F67" i="5"/>
  <c r="D68" i="5"/>
  <c r="F68" i="4"/>
  <c r="D69" i="4"/>
  <c r="F69" i="6" l="1"/>
  <c r="I68" i="6"/>
  <c r="E70" i="6"/>
  <c r="H69" i="6"/>
  <c r="J69" i="6" s="1"/>
  <c r="D69" i="5"/>
  <c r="F68" i="5"/>
  <c r="F69" i="4"/>
  <c r="D70" i="4"/>
  <c r="F70" i="6" l="1"/>
  <c r="I69" i="6"/>
  <c r="E71" i="6"/>
  <c r="H70" i="6"/>
  <c r="J70" i="6" s="1"/>
  <c r="D70" i="5"/>
  <c r="F69" i="5"/>
  <c r="D71" i="4"/>
  <c r="F70" i="4"/>
  <c r="F71" i="6" l="1"/>
  <c r="I70" i="6"/>
  <c r="E72" i="6"/>
  <c r="H71" i="6"/>
  <c r="J71" i="6" s="1"/>
  <c r="D71" i="5"/>
  <c r="F70" i="5"/>
  <c r="F71" i="4"/>
  <c r="D72" i="4"/>
  <c r="F72" i="6" l="1"/>
  <c r="I71" i="6"/>
  <c r="E73" i="6"/>
  <c r="H72" i="6"/>
  <c r="J72" i="6" s="1"/>
  <c r="F71" i="5"/>
  <c r="D72" i="5"/>
  <c r="D73" i="4"/>
  <c r="F72" i="4"/>
  <c r="F73" i="6" l="1"/>
  <c r="I72" i="6"/>
  <c r="E74" i="6"/>
  <c r="H73" i="6"/>
  <c r="J73" i="6" s="1"/>
  <c r="D73" i="5"/>
  <c r="F72" i="5"/>
  <c r="F73" i="4"/>
  <c r="D74" i="4"/>
  <c r="F74" i="6" l="1"/>
  <c r="I73" i="6"/>
  <c r="E75" i="6"/>
  <c r="H74" i="6"/>
  <c r="J74" i="6" s="1"/>
  <c r="F73" i="5"/>
  <c r="D74" i="5"/>
  <c r="D75" i="4"/>
  <c r="F74" i="4"/>
  <c r="F75" i="6" l="1"/>
  <c r="I74" i="6"/>
  <c r="E76" i="6"/>
  <c r="H75" i="6"/>
  <c r="J75" i="6" s="1"/>
  <c r="D75" i="5"/>
  <c r="F74" i="5"/>
  <c r="D76" i="4"/>
  <c r="F75" i="4"/>
  <c r="F76" i="6" l="1"/>
  <c r="I75" i="6"/>
  <c r="E77" i="6"/>
  <c r="H76" i="6"/>
  <c r="J76" i="6" s="1"/>
  <c r="F75" i="5"/>
  <c r="D76" i="5"/>
  <c r="F76" i="4"/>
  <c r="D77" i="4"/>
  <c r="F77" i="6" l="1"/>
  <c r="I76" i="6"/>
  <c r="E78" i="6"/>
  <c r="H77" i="6"/>
  <c r="J77" i="6" s="1"/>
  <c r="F76" i="5"/>
  <c r="D77" i="5"/>
  <c r="F77" i="4"/>
  <c r="D78" i="4"/>
  <c r="F78" i="6" l="1"/>
  <c r="I77" i="6"/>
  <c r="E79" i="6"/>
  <c r="H78" i="6"/>
  <c r="J78" i="6" s="1"/>
  <c r="D78" i="5"/>
  <c r="F77" i="5"/>
  <c r="D79" i="4"/>
  <c r="F78" i="4"/>
  <c r="F79" i="6" l="1"/>
  <c r="I78" i="6"/>
  <c r="E80" i="6"/>
  <c r="H79" i="6"/>
  <c r="J79" i="6" s="1"/>
  <c r="D79" i="5"/>
  <c r="F78" i="5"/>
  <c r="F79" i="4"/>
  <c r="D80" i="4"/>
  <c r="F80" i="6" l="1"/>
  <c r="I79" i="6"/>
  <c r="E81" i="6"/>
  <c r="H80" i="6"/>
  <c r="J80" i="6" s="1"/>
  <c r="D80" i="5"/>
  <c r="F79" i="5"/>
  <c r="D81" i="4"/>
  <c r="F80" i="4"/>
  <c r="F81" i="6" l="1"/>
  <c r="I80" i="6"/>
  <c r="E82" i="6"/>
  <c r="H81" i="6"/>
  <c r="J81" i="6" s="1"/>
  <c r="D81" i="5"/>
  <c r="F80" i="5"/>
  <c r="F81" i="4"/>
  <c r="D82" i="4"/>
  <c r="F82" i="6" l="1"/>
  <c r="I81" i="6"/>
  <c r="E83" i="6"/>
  <c r="H82" i="6"/>
  <c r="J82" i="6" s="1"/>
  <c r="F81" i="5"/>
  <c r="D82" i="5"/>
  <c r="D83" i="4"/>
  <c r="F82" i="4"/>
  <c r="F83" i="6" l="1"/>
  <c r="I82" i="6"/>
  <c r="E84" i="6"/>
  <c r="H83" i="6"/>
  <c r="J83" i="6" s="1"/>
  <c r="D83" i="5"/>
  <c r="F82" i="5"/>
  <c r="F83" i="4"/>
  <c r="D84" i="4"/>
  <c r="F84" i="6" l="1"/>
  <c r="I83" i="6"/>
  <c r="E85" i="6"/>
  <c r="H84" i="6"/>
  <c r="J84" i="6" s="1"/>
  <c r="F83" i="5"/>
  <c r="D84" i="5"/>
  <c r="F84" i="4"/>
  <c r="D85" i="4"/>
  <c r="F85" i="6" l="1"/>
  <c r="I84" i="6"/>
  <c r="E86" i="6"/>
  <c r="H85" i="6"/>
  <c r="J85" i="6" s="1"/>
  <c r="D85" i="5"/>
  <c r="F84" i="5"/>
  <c r="F85" i="4"/>
  <c r="D86" i="4"/>
  <c r="F86" i="6" l="1"/>
  <c r="I85" i="6"/>
  <c r="E87" i="6"/>
  <c r="H86" i="6"/>
  <c r="J86" i="6" s="1"/>
  <c r="D86" i="5"/>
  <c r="F85" i="5"/>
  <c r="D87" i="4"/>
  <c r="F86" i="4"/>
  <c r="F87" i="6" l="1"/>
  <c r="I86" i="6"/>
  <c r="E88" i="6"/>
  <c r="H87" i="6"/>
  <c r="J87" i="6" s="1"/>
  <c r="D87" i="5"/>
  <c r="F86" i="5"/>
  <c r="F87" i="4"/>
  <c r="D88" i="4"/>
  <c r="F88" i="6" l="1"/>
  <c r="I87" i="6"/>
  <c r="E89" i="6"/>
  <c r="H88" i="6"/>
  <c r="J88" i="6" s="1"/>
  <c r="F87" i="5"/>
  <c r="D88" i="5"/>
  <c r="D89" i="4"/>
  <c r="F88" i="4"/>
  <c r="F89" i="6" l="1"/>
  <c r="I88" i="6"/>
  <c r="E90" i="6"/>
  <c r="H89" i="6"/>
  <c r="J89" i="6" s="1"/>
  <c r="D89" i="5"/>
  <c r="F88" i="5"/>
  <c r="F89" i="4"/>
  <c r="D90" i="4"/>
  <c r="F90" i="6" l="1"/>
  <c r="I89" i="6"/>
  <c r="E91" i="6"/>
  <c r="H90" i="6"/>
  <c r="J90" i="6" s="1"/>
  <c r="D90" i="5"/>
  <c r="F89" i="5"/>
  <c r="D91" i="4"/>
  <c r="F90" i="4"/>
  <c r="F91" i="6" l="1"/>
  <c r="I90" i="6"/>
  <c r="E92" i="6"/>
  <c r="H91" i="6"/>
  <c r="J91" i="6" s="1"/>
  <c r="D91" i="5"/>
  <c r="F90" i="5"/>
  <c r="F91" i="4"/>
  <c r="D92" i="4"/>
  <c r="F92" i="6" l="1"/>
  <c r="I91" i="6"/>
  <c r="E93" i="6"/>
  <c r="H92" i="6"/>
  <c r="J92" i="6" s="1"/>
  <c r="F91" i="5"/>
  <c r="D92" i="5"/>
  <c r="D93" i="4"/>
  <c r="F92" i="4"/>
  <c r="F93" i="6" l="1"/>
  <c r="I92" i="6"/>
  <c r="E94" i="6"/>
  <c r="H93" i="6"/>
  <c r="J93" i="6" s="1"/>
  <c r="D93" i="5"/>
  <c r="F92" i="5"/>
  <c r="F93" i="4"/>
  <c r="D94" i="4"/>
  <c r="F94" i="6" l="1"/>
  <c r="I93" i="6"/>
  <c r="E95" i="6"/>
  <c r="H94" i="6"/>
  <c r="J94" i="6" s="1"/>
  <c r="F93" i="5"/>
  <c r="D94" i="5"/>
  <c r="D95" i="4"/>
  <c r="F94" i="4"/>
  <c r="F95" i="6" l="1"/>
  <c r="I94" i="6"/>
  <c r="E96" i="6"/>
  <c r="H95" i="6"/>
  <c r="J95" i="6" s="1"/>
  <c r="D95" i="5"/>
  <c r="F94" i="5"/>
  <c r="D96" i="4"/>
  <c r="F95" i="4"/>
  <c r="F96" i="6" l="1"/>
  <c r="I95" i="6"/>
  <c r="E97" i="6"/>
  <c r="H96" i="6"/>
  <c r="J96" i="6" s="1"/>
  <c r="D96" i="5"/>
  <c r="F95" i="5"/>
  <c r="F96" i="4"/>
  <c r="D97" i="4"/>
  <c r="F97" i="6" l="1"/>
  <c r="I96" i="6"/>
  <c r="E98" i="6"/>
  <c r="H97" i="6"/>
  <c r="J97" i="6" s="1"/>
  <c r="F96" i="5"/>
  <c r="D97" i="5"/>
  <c r="D98" i="4"/>
  <c r="F97" i="4"/>
  <c r="F98" i="6" l="1"/>
  <c r="I97" i="6"/>
  <c r="E99" i="6"/>
  <c r="H98" i="6"/>
  <c r="J98" i="6" s="1"/>
  <c r="F97" i="5"/>
  <c r="D98" i="5"/>
  <c r="D99" i="4"/>
  <c r="F98" i="4"/>
  <c r="F99" i="6" l="1"/>
  <c r="I98" i="6"/>
  <c r="E100" i="6"/>
  <c r="H99" i="6"/>
  <c r="J99" i="6" s="1"/>
  <c r="D99" i="5"/>
  <c r="F98" i="5"/>
  <c r="D100" i="4"/>
  <c r="F99" i="4"/>
  <c r="F100" i="6" l="1"/>
  <c r="I99" i="6"/>
  <c r="E101" i="6"/>
  <c r="H100" i="6"/>
  <c r="J100" i="6" s="1"/>
  <c r="F99" i="5"/>
  <c r="D100" i="5"/>
  <c r="D101" i="4"/>
  <c r="F100" i="4"/>
  <c r="F101" i="6" l="1"/>
  <c r="I100" i="6"/>
  <c r="E102" i="6"/>
  <c r="H101" i="6"/>
  <c r="J101" i="6" s="1"/>
  <c r="F100" i="5"/>
  <c r="D101" i="5"/>
  <c r="D102" i="4"/>
  <c r="F101" i="4"/>
  <c r="F102" i="6" l="1"/>
  <c r="I101" i="6"/>
  <c r="E103" i="6"/>
  <c r="H102" i="6"/>
  <c r="J102" i="6" s="1"/>
  <c r="F101" i="5"/>
  <c r="D102" i="5"/>
  <c r="D103" i="4"/>
  <c r="F102" i="4"/>
  <c r="F103" i="6" l="1"/>
  <c r="I102" i="6"/>
  <c r="E104" i="6"/>
  <c r="H103" i="6"/>
  <c r="J103" i="6" s="1"/>
  <c r="D103" i="5"/>
  <c r="F102" i="5"/>
  <c r="F103" i="4"/>
  <c r="D104" i="4"/>
  <c r="F104" i="6" l="1"/>
  <c r="I103" i="6"/>
  <c r="E105" i="6"/>
  <c r="H104" i="6"/>
  <c r="J104" i="6" s="1"/>
  <c r="F103" i="5"/>
  <c r="D104" i="5"/>
  <c r="F104" i="4"/>
  <c r="D105" i="4"/>
  <c r="F105" i="6" l="1"/>
  <c r="I104" i="6"/>
  <c r="E106" i="6"/>
  <c r="H105" i="6"/>
  <c r="J105" i="6" s="1"/>
  <c r="D105" i="5"/>
  <c r="F104" i="5"/>
  <c r="F105" i="4"/>
  <c r="D106" i="4"/>
  <c r="F106" i="6" l="1"/>
  <c r="I105" i="6"/>
  <c r="E107" i="6"/>
  <c r="H106" i="6"/>
  <c r="J106" i="6" s="1"/>
  <c r="D106" i="5"/>
  <c r="F105" i="5"/>
  <c r="D107" i="4"/>
  <c r="F106" i="4"/>
  <c r="F107" i="6" l="1"/>
  <c r="I106" i="6"/>
  <c r="E108" i="6"/>
  <c r="H107" i="6"/>
  <c r="J107" i="6" s="1"/>
  <c r="D107" i="5"/>
  <c r="F106" i="5"/>
  <c r="F107" i="4"/>
  <c r="D108" i="4"/>
  <c r="F108" i="6" l="1"/>
  <c r="I107" i="6"/>
  <c r="E109" i="6"/>
  <c r="H108" i="6"/>
  <c r="J108" i="6" s="1"/>
  <c r="D108" i="5"/>
  <c r="F107" i="5"/>
  <c r="D109" i="4"/>
  <c r="F108" i="4"/>
  <c r="F109" i="6" l="1"/>
  <c r="I108" i="6"/>
  <c r="E110" i="6"/>
  <c r="H109" i="6"/>
  <c r="J109" i="6" s="1"/>
  <c r="D109" i="5"/>
  <c r="F108" i="5"/>
  <c r="D110" i="4"/>
  <c r="F109" i="4"/>
  <c r="F110" i="6" l="1"/>
  <c r="I109" i="6"/>
  <c r="E111" i="6"/>
  <c r="H110" i="6"/>
  <c r="J110" i="6" s="1"/>
  <c r="F109" i="5"/>
  <c r="D110" i="5"/>
  <c r="D111" i="4"/>
  <c r="F110" i="4"/>
  <c r="F111" i="6" l="1"/>
  <c r="I110" i="6"/>
  <c r="E112" i="6"/>
  <c r="H111" i="6"/>
  <c r="J111" i="6" s="1"/>
  <c r="D111" i="5"/>
  <c r="F110" i="5"/>
  <c r="D112" i="4"/>
  <c r="F111" i="4"/>
  <c r="F112" i="6" l="1"/>
  <c r="I111" i="6"/>
  <c r="E113" i="6"/>
  <c r="H112" i="6"/>
  <c r="J112" i="6" s="1"/>
  <c r="F111" i="5"/>
  <c r="D112" i="5"/>
  <c r="D113" i="4"/>
  <c r="F112" i="4"/>
  <c r="F113" i="6" l="1"/>
  <c r="I112" i="6"/>
  <c r="E114" i="6"/>
  <c r="H113" i="6"/>
  <c r="J113" i="6" s="1"/>
  <c r="D113" i="5"/>
  <c r="F112" i="5"/>
  <c r="F113" i="4"/>
  <c r="D114" i="4"/>
  <c r="F114" i="6" l="1"/>
  <c r="I113" i="6"/>
  <c r="E115" i="6"/>
  <c r="H114" i="6"/>
  <c r="J114" i="6" s="1"/>
  <c r="F113" i="5"/>
  <c r="D114" i="5"/>
  <c r="D115" i="4"/>
  <c r="F114" i="4"/>
  <c r="F115" i="6" l="1"/>
  <c r="I114" i="6"/>
  <c r="E116" i="6"/>
  <c r="H115" i="6"/>
  <c r="J115" i="6" s="1"/>
  <c r="D115" i="5"/>
  <c r="F114" i="5"/>
  <c r="F115" i="4"/>
  <c r="D116" i="4"/>
  <c r="F116" i="6" l="1"/>
  <c r="I115" i="6"/>
  <c r="E117" i="6"/>
  <c r="H116" i="6"/>
  <c r="J116" i="6" s="1"/>
  <c r="F115" i="5"/>
  <c r="D116" i="5"/>
  <c r="F116" i="4"/>
  <c r="D117" i="4"/>
  <c r="F117" i="6" l="1"/>
  <c r="I116" i="6"/>
  <c r="E118" i="6"/>
  <c r="H117" i="6"/>
  <c r="J117" i="6" s="1"/>
  <c r="D117" i="5"/>
  <c r="F116" i="5"/>
  <c r="F117" i="4"/>
  <c r="D118" i="4"/>
  <c r="F118" i="6" l="1"/>
  <c r="I117" i="6"/>
  <c r="E119" i="6"/>
  <c r="H118" i="6"/>
  <c r="J118" i="6" s="1"/>
  <c r="F117" i="5"/>
  <c r="D118" i="5"/>
  <c r="D119" i="4"/>
  <c r="F118" i="4"/>
  <c r="F119" i="6" l="1"/>
  <c r="I118" i="6"/>
  <c r="E120" i="6"/>
  <c r="H119" i="6"/>
  <c r="J119" i="6" s="1"/>
  <c r="D119" i="5"/>
  <c r="F118" i="5"/>
  <c r="D120" i="4"/>
  <c r="F119" i="4"/>
  <c r="F120" i="6" l="1"/>
  <c r="I119" i="6"/>
  <c r="E121" i="6"/>
  <c r="H120" i="6"/>
  <c r="J120" i="6" s="1"/>
  <c r="F119" i="5"/>
  <c r="D120" i="5"/>
  <c r="D121" i="4"/>
  <c r="F120" i="4"/>
  <c r="F121" i="6" l="1"/>
  <c r="I120" i="6"/>
  <c r="E122" i="6"/>
  <c r="H121" i="6"/>
  <c r="J121" i="6" s="1"/>
  <c r="F120" i="5"/>
  <c r="D121" i="5"/>
  <c r="D122" i="4"/>
  <c r="F121" i="4"/>
  <c r="F122" i="6" l="1"/>
  <c r="I121" i="6"/>
  <c r="E123" i="6"/>
  <c r="H122" i="6"/>
  <c r="J122" i="6" s="1"/>
  <c r="F121" i="5"/>
  <c r="D122" i="5"/>
  <c r="D123" i="4"/>
  <c r="F122" i="4"/>
  <c r="F123" i="6" l="1"/>
  <c r="I122" i="6"/>
  <c r="E124" i="6"/>
  <c r="H123" i="6"/>
  <c r="J123" i="6" s="1"/>
  <c r="D123" i="5"/>
  <c r="F122" i="5"/>
  <c r="F123" i="4"/>
  <c r="D124" i="4"/>
  <c r="F124" i="6" l="1"/>
  <c r="I123" i="6"/>
  <c r="E125" i="6"/>
  <c r="H124" i="6"/>
  <c r="J124" i="6" s="1"/>
  <c r="F123" i="5"/>
  <c r="D124" i="5"/>
  <c r="D125" i="4"/>
  <c r="F124" i="4"/>
  <c r="F125" i="6" l="1"/>
  <c r="I124" i="6"/>
  <c r="E126" i="6"/>
  <c r="H125" i="6"/>
  <c r="J125" i="6" s="1"/>
  <c r="D125" i="5"/>
  <c r="F124" i="5"/>
  <c r="D126" i="4"/>
  <c r="F125" i="4"/>
  <c r="F126" i="6" l="1"/>
  <c r="I125" i="6"/>
  <c r="E127" i="6"/>
  <c r="H126" i="6"/>
  <c r="J126" i="6" s="1"/>
  <c r="D126" i="5"/>
  <c r="F125" i="5"/>
  <c r="F126" i="4"/>
  <c r="D127" i="4"/>
  <c r="F127" i="6" l="1"/>
  <c r="I126" i="6"/>
  <c r="E128" i="6"/>
  <c r="H127" i="6"/>
  <c r="J127" i="6" s="1"/>
  <c r="D127" i="5"/>
  <c r="F126" i="5"/>
  <c r="D128" i="4"/>
  <c r="F127" i="4"/>
  <c r="F128" i="6" l="1"/>
  <c r="I127" i="6"/>
  <c r="E129" i="6"/>
  <c r="H128" i="6"/>
  <c r="J128" i="6" s="1"/>
  <c r="D128" i="5"/>
  <c r="F127" i="5"/>
  <c r="F128" i="4"/>
  <c r="D129" i="4"/>
  <c r="F129" i="6" l="1"/>
  <c r="I128" i="6"/>
  <c r="E130" i="6"/>
  <c r="H129" i="6"/>
  <c r="J129" i="6" s="1"/>
  <c r="D129" i="5"/>
  <c r="F128" i="5"/>
  <c r="F129" i="4"/>
  <c r="D130" i="4"/>
  <c r="F130" i="6" l="1"/>
  <c r="I129" i="6"/>
  <c r="E131" i="6"/>
  <c r="H130" i="6"/>
  <c r="J130" i="6" s="1"/>
  <c r="D130" i="5"/>
  <c r="F129" i="5"/>
  <c r="D131" i="4"/>
  <c r="F130" i="4"/>
  <c r="F131" i="6" l="1"/>
  <c r="I130" i="6"/>
  <c r="E132" i="6"/>
  <c r="H131" i="6"/>
  <c r="J131" i="6" s="1"/>
  <c r="D131" i="5"/>
  <c r="F130" i="5"/>
  <c r="D132" i="4"/>
  <c r="F131" i="4"/>
  <c r="F132" i="6" l="1"/>
  <c r="I131" i="6"/>
  <c r="E133" i="6"/>
  <c r="H132" i="6"/>
  <c r="J132" i="6" s="1"/>
  <c r="F131" i="5"/>
  <c r="D132" i="5"/>
  <c r="D133" i="4"/>
  <c r="F132" i="4"/>
  <c r="F133" i="6" l="1"/>
  <c r="I133" i="6" s="1"/>
  <c r="I132" i="6"/>
  <c r="H133" i="6"/>
  <c r="J133" i="6" s="1"/>
  <c r="D133" i="5"/>
  <c r="F132" i="5"/>
  <c r="F133" i="4"/>
  <c r="F133" i="5" l="1"/>
</calcChain>
</file>

<file path=xl/sharedStrings.xml><?xml version="1.0" encoding="utf-8"?>
<sst xmlns="http://schemas.openxmlformats.org/spreadsheetml/2006/main" count="103" uniqueCount="36">
  <si>
    <t>Ось X</t>
  </si>
  <si>
    <t>Ось Y</t>
  </si>
  <si>
    <t>Ось Z</t>
  </si>
  <si>
    <t>секунды</t>
  </si>
  <si>
    <t>мм/сек^2</t>
  </si>
  <si>
    <t>Время  t</t>
  </si>
  <si>
    <t>мм/сек</t>
  </si>
  <si>
    <t>мм</t>
  </si>
  <si>
    <t>(км/час)</t>
  </si>
  <si>
    <t>(мм/сек)</t>
  </si>
  <si>
    <t>(град)</t>
  </si>
  <si>
    <t>X</t>
  </si>
  <si>
    <t>Y</t>
  </si>
  <si>
    <t>int x</t>
  </si>
  <si>
    <t>int y</t>
  </si>
  <si>
    <t>l - длина штанги с датчиками ускорений</t>
  </si>
  <si>
    <t>a - задний установочный размер</t>
  </si>
  <si>
    <t>( град )</t>
  </si>
  <si>
    <t>(м)</t>
  </si>
  <si>
    <t xml:space="preserve">h - ширина транспортного средства </t>
  </si>
  <si>
    <t>Проекции начальной скорости для точек 1 и 2 :</t>
  </si>
  <si>
    <t>Начальные координаты точек 1 и 2 :</t>
  </si>
  <si>
    <t>b - передний установочный размер</t>
  </si>
  <si>
    <t>(м/с)</t>
  </si>
  <si>
    <t>Ускорения точек 1 и 2 ( данные с акселерометров ).</t>
  </si>
  <si>
    <t xml:space="preserve">Шаг интегрирования  </t>
  </si>
  <si>
    <t>t</t>
  </si>
  <si>
    <t>ускорение точки 1</t>
  </si>
  <si>
    <t>ускорение точки 2</t>
  </si>
  <si>
    <t>Введём функцию</t>
  </si>
  <si>
    <t>Тогда :</t>
  </si>
  <si>
    <t>Уравнение движения 1 - 6 точек и угол</t>
  </si>
  <si>
    <r>
      <t xml:space="preserve">t  </t>
    </r>
    <r>
      <rPr>
        <sz val="8"/>
        <color theme="1"/>
        <rFont val="Calibri"/>
        <family val="2"/>
        <charset val="204"/>
        <scheme val="minor"/>
      </rPr>
      <t>(с )</t>
    </r>
  </si>
  <si>
    <t>(с)</t>
  </si>
  <si>
    <t>( м )</t>
  </si>
  <si>
    <t xml:space="preserve"> (м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</si>
</sst>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8"/>
      <color rgb="FF000000"/>
      <name val="Segoe UI"/>
      <family val="2"/>
      <charset val="204"/>
    </font>
    <font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name val="Segoe UI"/>
      <family val="2"/>
      <charset val="204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2">
    <xf numFmtId="0" fontId="0" fillId="0" borderId="0" xfId="0"/>
    <xf numFmtId="0" fontId="0" fillId="0" borderId="0" xfId="0" applyAlignment="1">
      <alignment horizontal="center"/>
    </xf>
    <xf numFmtId="0" fontId="0" fillId="33" borderId="10" xfId="0" applyFill="1" applyBorder="1" applyAlignment="1">
      <alignment horizontal="right"/>
    </xf>
    <xf numFmtId="0" fontId="0" fillId="0" borderId="11" xfId="0" applyFill="1" applyBorder="1" applyAlignment="1">
      <alignment horizontal="center"/>
    </xf>
    <xf numFmtId="0" fontId="0" fillId="33" borderId="11" xfId="0" applyFill="1" applyBorder="1"/>
    <xf numFmtId="0" fontId="0" fillId="33" borderId="11" xfId="0" applyFill="1" applyBorder="1" applyAlignment="1">
      <alignment horizontal="right"/>
    </xf>
    <xf numFmtId="0" fontId="0" fillId="33" borderId="12" xfId="0" applyFill="1" applyBorder="1"/>
    <xf numFmtId="0" fontId="0" fillId="33" borderId="13" xfId="0" applyFill="1" applyBorder="1" applyAlignment="1">
      <alignment horizontal="right"/>
    </xf>
    <xf numFmtId="0" fontId="0" fillId="33" borderId="14" xfId="0" applyFill="1" applyBorder="1" applyAlignment="1">
      <alignment horizontal="center"/>
    </xf>
    <xf numFmtId="0" fontId="0" fillId="33" borderId="14" xfId="0" applyFill="1" applyBorder="1"/>
    <xf numFmtId="0" fontId="0" fillId="33" borderId="15" xfId="0" applyFill="1" applyBorder="1"/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4" xfId="0" applyBorder="1"/>
    <xf numFmtId="0" fontId="0" fillId="34" borderId="0" xfId="0" applyFill="1" applyBorder="1"/>
    <xf numFmtId="0" fontId="0" fillId="35" borderId="13" xfId="0" applyFill="1" applyBorder="1"/>
    <xf numFmtId="0" fontId="0" fillId="35" borderId="18" xfId="0" applyFill="1" applyBorder="1"/>
    <xf numFmtId="0" fontId="0" fillId="35" borderId="15" xfId="0" applyFill="1" applyBorder="1"/>
    <xf numFmtId="0" fontId="0" fillId="35" borderId="13" xfId="0" applyFill="1" applyBorder="1" applyAlignment="1">
      <alignment horizontal="center"/>
    </xf>
    <xf numFmtId="0" fontId="20" fillId="35" borderId="10" xfId="0" applyFont="1" applyFill="1" applyBorder="1"/>
    <xf numFmtId="0" fontId="0" fillId="35" borderId="11" xfId="0" applyFill="1" applyBorder="1"/>
    <xf numFmtId="0" fontId="0" fillId="35" borderId="21" xfId="0" applyFill="1" applyBorder="1"/>
    <xf numFmtId="0" fontId="0" fillId="35" borderId="12" xfId="0" applyFill="1" applyBorder="1"/>
    <xf numFmtId="0" fontId="0" fillId="35" borderId="14" xfId="0" applyFill="1" applyBorder="1"/>
    <xf numFmtId="0" fontId="0" fillId="0" borderId="18" xfId="0" applyFill="1" applyBorder="1"/>
    <xf numFmtId="0" fontId="0" fillId="0" borderId="0" xfId="0" applyBorder="1"/>
    <xf numFmtId="0" fontId="0" fillId="34" borderId="0" xfId="0" applyFill="1" applyAlignment="1">
      <alignment horizontal="center"/>
    </xf>
    <xf numFmtId="0" fontId="0" fillId="34" borderId="0" xfId="0" applyFill="1"/>
    <xf numFmtId="0" fontId="0" fillId="0" borderId="14" xfId="0" applyFill="1" applyBorder="1"/>
    <xf numFmtId="0" fontId="0" fillId="0" borderId="17" xfId="0" applyBorder="1"/>
    <xf numFmtId="0" fontId="0" fillId="35" borderId="0" xfId="0" applyFill="1" applyBorder="1"/>
    <xf numFmtId="0" fontId="0" fillId="35" borderId="10" xfId="0" applyFill="1" applyBorder="1"/>
    <xf numFmtId="0" fontId="21" fillId="35" borderId="10" xfId="0" applyFont="1" applyFill="1" applyBorder="1"/>
    <xf numFmtId="0" fontId="21" fillId="35" borderId="19" xfId="0" applyFont="1" applyFill="1" applyBorder="1"/>
    <xf numFmtId="0" fontId="0" fillId="35" borderId="20" xfId="0" applyFill="1" applyBorder="1"/>
    <xf numFmtId="0" fontId="0" fillId="35" borderId="14" xfId="0" applyFill="1" applyBorder="1" applyAlignment="1">
      <alignment horizontal="center"/>
    </xf>
    <xf numFmtId="0" fontId="0" fillId="35" borderId="15" xfId="0" applyFill="1" applyBorder="1" applyAlignment="1">
      <alignment horizontal="center"/>
    </xf>
    <xf numFmtId="0" fontId="0" fillId="36" borderId="23" xfId="0" applyFill="1" applyBorder="1" applyAlignment="1">
      <alignment horizontal="center"/>
    </xf>
    <xf numFmtId="0" fontId="0" fillId="36" borderId="24" xfId="0" applyFill="1" applyBorder="1"/>
    <xf numFmtId="0" fontId="0" fillId="36" borderId="22" xfId="0" applyFill="1" applyBorder="1"/>
    <xf numFmtId="0" fontId="0" fillId="36" borderId="24" xfId="0" applyFill="1" applyBorder="1" applyAlignment="1">
      <alignment horizontal="center"/>
    </xf>
    <xf numFmtId="0" fontId="0" fillId="36" borderId="25" xfId="0" applyFill="1" applyBorder="1"/>
    <xf numFmtId="0" fontId="0" fillId="37" borderId="23" xfId="0" applyFill="1" applyBorder="1" applyAlignment="1">
      <alignment horizontal="center"/>
    </xf>
    <xf numFmtId="0" fontId="0" fillId="37" borderId="24" xfId="0" applyFill="1" applyBorder="1"/>
    <xf numFmtId="0" fontId="0" fillId="37" borderId="22" xfId="0" applyFill="1" applyBorder="1"/>
    <xf numFmtId="0" fontId="0" fillId="37" borderId="24" xfId="0" applyFill="1" applyBorder="1" applyAlignment="1">
      <alignment horizontal="center"/>
    </xf>
    <xf numFmtId="0" fontId="0" fillId="37" borderId="25" xfId="0" applyFill="1" applyBorder="1"/>
    <xf numFmtId="0" fontId="0" fillId="35" borderId="0" xfId="0" applyFill="1" applyBorder="1" applyAlignment="1"/>
    <xf numFmtId="0" fontId="0" fillId="35" borderId="0" xfId="0" applyFill="1"/>
    <xf numFmtId="0" fontId="21" fillId="0" borderId="24" xfId="0" applyFont="1" applyBorder="1" applyAlignment="1">
      <alignment horizontal="right"/>
    </xf>
    <xf numFmtId="0" fontId="21" fillId="0" borderId="25" xfId="0" applyFont="1" applyBorder="1" applyAlignment="1">
      <alignment horizontal="right"/>
    </xf>
    <xf numFmtId="0" fontId="21" fillId="0" borderId="14" xfId="0" applyFont="1" applyBorder="1" applyAlignment="1">
      <alignment horizontal="right"/>
    </xf>
    <xf numFmtId="0" fontId="21" fillId="0" borderId="0" xfId="0" applyFont="1" applyAlignment="1">
      <alignment horizontal="right"/>
    </xf>
    <xf numFmtId="0" fontId="0" fillId="0" borderId="23" xfId="0" applyFont="1" applyBorder="1" applyAlignment="1">
      <alignment horizontal="center"/>
    </xf>
    <xf numFmtId="0" fontId="21" fillId="36" borderId="24" xfId="0" applyFont="1" applyFill="1" applyBorder="1" applyAlignment="1">
      <alignment horizontal="right"/>
    </xf>
    <xf numFmtId="0" fontId="21" fillId="37" borderId="25" xfId="0" applyFont="1" applyFill="1" applyBorder="1" applyAlignment="1">
      <alignment horizontal="right"/>
    </xf>
    <xf numFmtId="0" fontId="0" fillId="35" borderId="10" xfId="0" applyFill="1" applyBorder="1" applyAlignment="1">
      <alignment horizontal="center" vertical="center" wrapText="1"/>
    </xf>
    <xf numFmtId="0" fontId="0" fillId="35" borderId="11" xfId="0" applyFill="1" applyBorder="1" applyAlignment="1">
      <alignment horizontal="center" vertical="center" wrapText="1"/>
    </xf>
    <xf numFmtId="0" fontId="0" fillId="35" borderId="12" xfId="0" applyFill="1" applyBorder="1" applyAlignment="1">
      <alignment horizontal="center" vertical="center" wrapText="1"/>
    </xf>
    <xf numFmtId="0" fontId="0" fillId="35" borderId="19" xfId="0" applyFill="1" applyBorder="1" applyAlignment="1">
      <alignment horizontal="center" vertical="center" wrapText="1"/>
    </xf>
    <xf numFmtId="0" fontId="0" fillId="35" borderId="0" xfId="0" applyFill="1" applyBorder="1" applyAlignment="1">
      <alignment horizontal="center" vertical="center" wrapText="1"/>
    </xf>
    <xf numFmtId="0" fontId="0" fillId="35" borderId="20" xfId="0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left" vertical="top" wrapText="1"/>
    </xf>
    <xf numFmtId="0" fontId="16" fillId="35" borderId="11" xfId="0" applyFont="1" applyFill="1" applyBorder="1" applyAlignment="1">
      <alignment horizontal="left" vertical="top" wrapText="1"/>
    </xf>
    <xf numFmtId="0" fontId="16" fillId="35" borderId="12" xfId="0" applyFont="1" applyFill="1" applyBorder="1" applyAlignment="1">
      <alignment horizontal="left" vertical="top" wrapText="1"/>
    </xf>
    <xf numFmtId="0" fontId="16" fillId="35" borderId="19" xfId="0" applyFont="1" applyFill="1" applyBorder="1" applyAlignment="1">
      <alignment horizontal="left" vertical="top" wrapText="1"/>
    </xf>
    <xf numFmtId="0" fontId="16" fillId="35" borderId="0" xfId="0" applyFont="1" applyFill="1" applyBorder="1" applyAlignment="1">
      <alignment horizontal="left" vertical="top" wrapText="1"/>
    </xf>
    <xf numFmtId="0" fontId="16" fillId="35" borderId="20" xfId="0" applyFont="1" applyFill="1" applyBorder="1" applyAlignment="1">
      <alignment horizontal="left" vertical="top" wrapText="1"/>
    </xf>
    <xf numFmtId="0" fontId="19" fillId="35" borderId="10" xfId="0" applyFont="1" applyFill="1" applyBorder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0" fontId="0" fillId="35" borderId="19" xfId="0" applyFill="1" applyBorder="1" applyAlignment="1">
      <alignment horizontal="center" vertical="center"/>
    </xf>
    <xf numFmtId="0" fontId="0" fillId="35" borderId="13" xfId="0" applyFill="1" applyBorder="1" applyAlignment="1">
      <alignment vertical="center"/>
    </xf>
    <xf numFmtId="0" fontId="0" fillId="35" borderId="19" xfId="0" applyFill="1" applyBorder="1" applyAlignment="1">
      <alignment horizontal="center"/>
    </xf>
    <xf numFmtId="0" fontId="0" fillId="35" borderId="0" xfId="0" applyFill="1" applyBorder="1" applyAlignment="1">
      <alignment horizontal="center"/>
    </xf>
    <xf numFmtId="0" fontId="0" fillId="35" borderId="2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35" borderId="13" xfId="0" applyFill="1" applyBorder="1" applyAlignment="1">
      <alignment horizontal="right"/>
    </xf>
    <xf numFmtId="0" fontId="0" fillId="0" borderId="14" xfId="0" applyBorder="1" applyAlignment="1">
      <alignment horizontal="right"/>
    </xf>
    <xf numFmtId="0" fontId="0" fillId="35" borderId="0" xfId="0" applyFill="1" applyBorder="1" applyAlignment="1">
      <alignment vertical="center"/>
    </xf>
    <xf numFmtId="0" fontId="0" fillId="35" borderId="0" xfId="0" applyFill="1" applyBorder="1" applyAlignme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Перемещение!$J$3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Перемещение!$I$4:$I$133</c:f>
              <c:numCache>
                <c:formatCode>General</c:formatCode>
                <c:ptCount val="130"/>
                <c:pt idx="0">
                  <c:v>174.63194984237737</c:v>
                </c:pt>
                <c:pt idx="1">
                  <c:v>348.59290427467971</c:v>
                </c:pt>
                <c:pt idx="2">
                  <c:v>521.96165977514215</c:v>
                </c:pt>
                <c:pt idx="3">
                  <c:v>695.08962481234948</c:v>
                </c:pt>
                <c:pt idx="4">
                  <c:v>868.02140590789179</c:v>
                </c:pt>
                <c:pt idx="5">
                  <c:v>1040.663076245959</c:v>
                </c:pt>
                <c:pt idx="6">
                  <c:v>1213.0560008976688</c:v>
                </c:pt>
                <c:pt idx="7">
                  <c:v>1385.3382240631686</c:v>
                </c:pt>
                <c:pt idx="8">
                  <c:v>1557.4912846905211</c:v>
                </c:pt>
                <c:pt idx="9">
                  <c:v>1729.2520269096783</c:v>
                </c:pt>
                <c:pt idx="10">
                  <c:v>1900.3915251347105</c:v>
                </c:pt>
                <c:pt idx="11">
                  <c:v>2070.873363435443</c:v>
                </c:pt>
                <c:pt idx="12">
                  <c:v>2240.6672712674258</c:v>
                </c:pt>
                <c:pt idx="13">
                  <c:v>2409.6274504128332</c:v>
                </c:pt>
                <c:pt idx="14">
                  <c:v>2577.5715787280405</c:v>
                </c:pt>
                <c:pt idx="15">
                  <c:v>2744.461843688623</c:v>
                </c:pt>
                <c:pt idx="16">
                  <c:v>2910.6664674534559</c:v>
                </c:pt>
                <c:pt idx="17">
                  <c:v>3076.9159159069882</c:v>
                </c:pt>
                <c:pt idx="18">
                  <c:v>3243.6767701008707</c:v>
                </c:pt>
                <c:pt idx="19">
                  <c:v>3410.5973238552783</c:v>
                </c:pt>
                <c:pt idx="20">
                  <c:v>3576.739447152986</c:v>
                </c:pt>
                <c:pt idx="21">
                  <c:v>3741.3117832434937</c:v>
                </c:pt>
                <c:pt idx="22">
                  <c:v>3904.189878684751</c:v>
                </c:pt>
                <c:pt idx="23">
                  <c:v>4065.8824695547582</c:v>
                </c:pt>
                <c:pt idx="24">
                  <c:v>4227.0708644871102</c:v>
                </c:pt>
                <c:pt idx="25">
                  <c:v>4388.2226003931019</c:v>
                </c:pt>
                <c:pt idx="26">
                  <c:v>4549.564516337914</c:v>
                </c:pt>
                <c:pt idx="27">
                  <c:v>4711.0570989270018</c:v>
                </c:pt>
                <c:pt idx="28">
                  <c:v>4872.2401732397639</c:v>
                </c:pt>
                <c:pt idx="29">
                  <c:v>5032.436728656201</c:v>
                </c:pt>
                <c:pt idx="30">
                  <c:v>5191.3250303618879</c:v>
                </c:pt>
                <c:pt idx="31">
                  <c:v>5349.2280539976246</c:v>
                </c:pt>
                <c:pt idx="32">
                  <c:v>5506.8374011624619</c:v>
                </c:pt>
                <c:pt idx="33">
                  <c:v>5664.6821598873739</c:v>
                </c:pt>
                <c:pt idx="34">
                  <c:v>5822.7613300258863</c:v>
                </c:pt>
                <c:pt idx="35">
                  <c:v>5980.5617979977733</c:v>
                </c:pt>
                <c:pt idx="36">
                  <c:v>6137.4126256804602</c:v>
                </c:pt>
                <c:pt idx="37">
                  <c:v>6292.9465462096468</c:v>
                </c:pt>
                <c:pt idx="38">
                  <c:v>6447.336784743934</c:v>
                </c:pt>
                <c:pt idx="39">
                  <c:v>6601.1185305521722</c:v>
                </c:pt>
                <c:pt idx="40">
                  <c:v>6754.8066251065111</c:v>
                </c:pt>
                <c:pt idx="41">
                  <c:v>6908.5976650406919</c:v>
                </c:pt>
                <c:pt idx="42">
                  <c:v>7062.2590026769012</c:v>
                </c:pt>
                <c:pt idx="43">
                  <c:v>7215.3128468881514</c:v>
                </c:pt>
                <c:pt idx="44">
                  <c:v>7367.4236622908766</c:v>
                </c:pt>
                <c:pt idx="45">
                  <c:v>7518.545262679002</c:v>
                </c:pt>
                <c:pt idx="46">
                  <c:v>7668.7024724178027</c:v>
                </c:pt>
                <c:pt idx="47">
                  <c:v>7817.8652183139784</c:v>
                </c:pt>
                <c:pt idx="48">
                  <c:v>7966.1389246960534</c:v>
                </c:pt>
                <c:pt idx="49">
                  <c:v>8113.8985429128379</c:v>
                </c:pt>
                <c:pt idx="50">
                  <c:v>8261.6038342070187</c:v>
                </c:pt>
                <c:pt idx="51">
                  <c:v>8409.4877390418587</c:v>
                </c:pt>
                <c:pt idx="52">
                  <c:v>8557.3793529831728</c:v>
                </c:pt>
                <c:pt idx="53">
                  <c:v>8704.8470499414889</c:v>
                </c:pt>
                <c:pt idx="54">
                  <c:v>8851.6321930546037</c:v>
                </c:pt>
                <c:pt idx="55">
                  <c:v>8997.8849467786677</c:v>
                </c:pt>
                <c:pt idx="56">
                  <c:v>9143.8742760093082</c:v>
                </c:pt>
                <c:pt idx="57">
                  <c:v>9289.6070825623483</c:v>
                </c:pt>
                <c:pt idx="58">
                  <c:v>9434.8124055216631</c:v>
                </c:pt>
                <c:pt idx="59">
                  <c:v>9579.1512478290533</c:v>
                </c:pt>
                <c:pt idx="60">
                  <c:v>9722.4294678217939</c:v>
                </c:pt>
                <c:pt idx="61">
                  <c:v>9864.7822438446583</c:v>
                </c:pt>
                <c:pt idx="62">
                  <c:v>10006.727114069148</c:v>
                </c:pt>
                <c:pt idx="63">
                  <c:v>10148.944170890314</c:v>
                </c:pt>
                <c:pt idx="64">
                  <c:v>10291.842044654853</c:v>
                </c:pt>
                <c:pt idx="65">
                  <c:v>10435.251709688344</c:v>
                </c:pt>
                <c:pt idx="66">
                  <c:v>10578.593742599034</c:v>
                </c:pt>
                <c:pt idx="67">
                  <c:v>10721.376125775199</c:v>
                </c:pt>
                <c:pt idx="68">
                  <c:v>10863.501522147139</c:v>
                </c:pt>
                <c:pt idx="69">
                  <c:v>11005.18838796793</c:v>
                </c:pt>
                <c:pt idx="70">
                  <c:v>11146.764190806545</c:v>
                </c:pt>
                <c:pt idx="71">
                  <c:v>11288.48128435256</c:v>
                </c:pt>
                <c:pt idx="72">
                  <c:v>11430.328024718649</c:v>
                </c:pt>
                <c:pt idx="73">
                  <c:v>11571.988443862814</c:v>
                </c:pt>
                <c:pt idx="74">
                  <c:v>11713.079102319729</c:v>
                </c:pt>
                <c:pt idx="75">
                  <c:v>11853.442009690219</c:v>
                </c:pt>
                <c:pt idx="76">
                  <c:v>11993.211484144435</c:v>
                </c:pt>
                <c:pt idx="77">
                  <c:v>12132.681587025767</c:v>
                </c:pt>
                <c:pt idx="78">
                  <c:v>12272.178587184935</c:v>
                </c:pt>
                <c:pt idx="79">
                  <c:v>12411.994919921621</c:v>
                </c:pt>
                <c:pt idx="80">
                  <c:v>12552.259387466655</c:v>
                </c:pt>
                <c:pt idx="81">
                  <c:v>12692.744970819791</c:v>
                </c:pt>
                <c:pt idx="82">
                  <c:v>12832.941772062326</c:v>
                </c:pt>
                <c:pt idx="83">
                  <c:v>12972.483051710635</c:v>
                </c:pt>
                <c:pt idx="84">
                  <c:v>13111.372288268145</c:v>
                </c:pt>
                <c:pt idx="85">
                  <c:v>13249.723930196755</c:v>
                </c:pt>
                <c:pt idx="86">
                  <c:v>13387.47097035534</c:v>
                </c:pt>
                <c:pt idx="87">
                  <c:v>13524.4233820105</c:v>
                </c:pt>
                <c:pt idx="88">
                  <c:v>13660.572792493786</c:v>
                </c:pt>
                <c:pt idx="89">
                  <c:v>13796.279917433247</c:v>
                </c:pt>
                <c:pt idx="90">
                  <c:v>13932.075690767455</c:v>
                </c:pt>
                <c:pt idx="91">
                  <c:v>14068.249228039016</c:v>
                </c:pt>
                <c:pt idx="92">
                  <c:v>14204.655961846825</c:v>
                </c:pt>
                <c:pt idx="93">
                  <c:v>14340.890213159513</c:v>
                </c:pt>
                <c:pt idx="94">
                  <c:v>14476.599672519675</c:v>
                </c:pt>
                <c:pt idx="95">
                  <c:v>14611.703056440387</c:v>
                </c:pt>
                <c:pt idx="96">
                  <c:v>14746.380848231573</c:v>
                </c:pt>
                <c:pt idx="97">
                  <c:v>14880.886790951243</c:v>
                </c:pt>
                <c:pt idx="98">
                  <c:v>15015.423193816478</c:v>
                </c:pt>
                <c:pt idx="99">
                  <c:v>15150.145540359244</c:v>
                </c:pt>
                <c:pt idx="100">
                  <c:v>15285.159053360161</c:v>
                </c:pt>
                <c:pt idx="101">
                  <c:v>15420.477360379627</c:v>
                </c:pt>
                <c:pt idx="102">
                  <c:v>15555.973999631742</c:v>
                </c:pt>
                <c:pt idx="103">
                  <c:v>15691.396011942927</c:v>
                </c:pt>
                <c:pt idx="104">
                  <c:v>15826.519379014833</c:v>
                </c:pt>
                <c:pt idx="105">
                  <c:v>15961.31750497649</c:v>
                </c:pt>
                <c:pt idx="106">
                  <c:v>16095.919741568938</c:v>
                </c:pt>
                <c:pt idx="107">
                  <c:v>16230.433030070257</c:v>
                </c:pt>
                <c:pt idx="108">
                  <c:v>16364.913421899519</c:v>
                </c:pt>
                <c:pt idx="109">
                  <c:v>16499.42761030166</c:v>
                </c:pt>
                <c:pt idx="110">
                  <c:v>16633.968424826839</c:v>
                </c:pt>
                <c:pt idx="111">
                  <c:v>16768.445516653039</c:v>
                </c:pt>
                <c:pt idx="112">
                  <c:v>16902.896873371814</c:v>
                </c:pt>
                <c:pt idx="113">
                  <c:v>17037.497975880706</c:v>
                </c:pt>
                <c:pt idx="114">
                  <c:v>17172.285806529289</c:v>
                </c:pt>
                <c:pt idx="115">
                  <c:v>17307.089128381562</c:v>
                </c:pt>
                <c:pt idx="116">
                  <c:v>17441.719660044651</c:v>
                </c:pt>
                <c:pt idx="117">
                  <c:v>17576.028454146694</c:v>
                </c:pt>
                <c:pt idx="118">
                  <c:v>17709.880309051958</c:v>
                </c:pt>
                <c:pt idx="119">
                  <c:v>17843.342048351315</c:v>
                </c:pt>
                <c:pt idx="120">
                  <c:v>17976.805120757675</c:v>
                </c:pt>
                <c:pt idx="121">
                  <c:v>18110.671861200703</c:v>
                </c:pt>
                <c:pt idx="122">
                  <c:v>18244.983584379956</c:v>
                </c:pt>
                <c:pt idx="123">
                  <c:v>18379.46787413636</c:v>
                </c:pt>
                <c:pt idx="124">
                  <c:v>18513.820118870164</c:v>
                </c:pt>
                <c:pt idx="125">
                  <c:v>18647.870624834417</c:v>
                </c:pt>
                <c:pt idx="126">
                  <c:v>18781.561463824768</c:v>
                </c:pt>
                <c:pt idx="127">
                  <c:v>18914.875585682523</c:v>
                </c:pt>
                <c:pt idx="128">
                  <c:v>19047.956540050625</c:v>
                </c:pt>
                <c:pt idx="129">
                  <c:v>19181.199608475101</c:v>
                </c:pt>
              </c:numCache>
            </c:numRef>
          </c:xVal>
          <c:yVal>
            <c:numRef>
              <c:f>Перемещение!$J$4:$J$133</c:f>
              <c:numCache>
                <c:formatCode>General</c:formatCode>
                <c:ptCount val="130"/>
                <c:pt idx="0">
                  <c:v>-63.493913349846672</c:v>
                </c:pt>
                <c:pt idx="1">
                  <c:v>-126.59533741136835</c:v>
                </c:pt>
                <c:pt idx="2">
                  <c:v>-189.40473680401502</c:v>
                </c:pt>
                <c:pt idx="3">
                  <c:v>-252.11068755468671</c:v>
                </c:pt>
                <c:pt idx="4">
                  <c:v>-314.57642247433336</c:v>
                </c:pt>
                <c:pt idx="5">
                  <c:v>-376.58564463150503</c:v>
                </c:pt>
                <c:pt idx="6">
                  <c:v>-438.1442199503017</c:v>
                </c:pt>
                <c:pt idx="7">
                  <c:v>-499.36916425714833</c:v>
                </c:pt>
                <c:pt idx="8">
                  <c:v>-560.24434920122007</c:v>
                </c:pt>
                <c:pt idx="9">
                  <c:v>-620.5757716269917</c:v>
                </c:pt>
                <c:pt idx="10">
                  <c:v>-680.04801354733843</c:v>
                </c:pt>
                <c:pt idx="11">
                  <c:v>-738.25673715711014</c:v>
                </c:pt>
                <c:pt idx="12">
                  <c:v>-794.89215241738191</c:v>
                </c:pt>
                <c:pt idx="13">
                  <c:v>-850.08093991897863</c:v>
                </c:pt>
                <c:pt idx="14">
                  <c:v>-904.45507165660024</c:v>
                </c:pt>
                <c:pt idx="15">
                  <c:v>-958.674760170647</c:v>
                </c:pt>
                <c:pt idx="16">
                  <c:v>-1012.8215747566186</c:v>
                </c:pt>
                <c:pt idx="17">
                  <c:v>-1066.3343173881403</c:v>
                </c:pt>
                <c:pt idx="18">
                  <c:v>-1118.549591354762</c:v>
                </c:pt>
                <c:pt idx="19">
                  <c:v>-1169.1947233288838</c:v>
                </c:pt>
                <c:pt idx="20">
                  <c:v>-1218.3256727345054</c:v>
                </c:pt>
                <c:pt idx="21">
                  <c:v>-1265.9780327111271</c:v>
                </c:pt>
                <c:pt idx="22">
                  <c:v>-1312.0980739862489</c:v>
                </c:pt>
                <c:pt idx="23">
                  <c:v>-1356.7916114038705</c:v>
                </c:pt>
                <c:pt idx="24">
                  <c:v>-1400.4441589289922</c:v>
                </c:pt>
                <c:pt idx="25">
                  <c:v>-1443.480485580139</c:v>
                </c:pt>
                <c:pt idx="26">
                  <c:v>-1485.9970123777607</c:v>
                </c:pt>
                <c:pt idx="27">
                  <c:v>-1527.6685378570073</c:v>
                </c:pt>
                <c:pt idx="28">
                  <c:v>-1568.0574183166791</c:v>
                </c:pt>
                <c:pt idx="29">
                  <c:v>-1606.9222194306008</c:v>
                </c:pt>
                <c:pt idx="30">
                  <c:v>-1644.1732462280224</c:v>
                </c:pt>
                <c:pt idx="31">
                  <c:v>-1679.8012269069441</c:v>
                </c:pt>
                <c:pt idx="32">
                  <c:v>-1714.0453441821655</c:v>
                </c:pt>
                <c:pt idx="33">
                  <c:v>-1747.3936476266872</c:v>
                </c:pt>
                <c:pt idx="34">
                  <c:v>-1780.2487709198335</c:v>
                </c:pt>
                <c:pt idx="35">
                  <c:v>-1812.7333601309301</c:v>
                </c:pt>
                <c:pt idx="36">
                  <c:v>-1844.7987581676766</c:v>
                </c:pt>
                <c:pt idx="37">
                  <c:v>-1876.2869957917981</c:v>
                </c:pt>
                <c:pt idx="38">
                  <c:v>-1906.9330585500945</c:v>
                </c:pt>
                <c:pt idx="39">
                  <c:v>-1936.5824573921909</c:v>
                </c:pt>
                <c:pt idx="40">
                  <c:v>-1965.3139729578374</c:v>
                </c:pt>
                <c:pt idx="41">
                  <c:v>-1993.0419706523089</c:v>
                </c:pt>
                <c:pt idx="42">
                  <c:v>-2019.2088569452303</c:v>
                </c:pt>
                <c:pt idx="43">
                  <c:v>-2043.287678101402</c:v>
                </c:pt>
                <c:pt idx="44">
                  <c:v>-2065.4406517968232</c:v>
                </c:pt>
                <c:pt idx="45">
                  <c:v>-2086.381098759045</c:v>
                </c:pt>
                <c:pt idx="46">
                  <c:v>-2106.7603251738665</c:v>
                </c:pt>
                <c:pt idx="47">
                  <c:v>-2126.90416167476</c:v>
                </c:pt>
                <c:pt idx="48">
                  <c:v>-2146.9550731420868</c:v>
                </c:pt>
                <c:pt idx="49">
                  <c:v>-2166.979066948893</c:v>
                </c:pt>
                <c:pt idx="50">
                  <c:v>-2186.8533180433024</c:v>
                </c:pt>
                <c:pt idx="51">
                  <c:v>-2206.1793727815939</c:v>
                </c:pt>
                <c:pt idx="52">
                  <c:v>-2224.541675505985</c:v>
                </c:pt>
                <c:pt idx="53">
                  <c:v>-2241.8916323444264</c:v>
                </c:pt>
                <c:pt idx="54">
                  <c:v>-2258.468285520868</c:v>
                </c:pt>
                <c:pt idx="55">
                  <c:v>-2274.3610586069844</c:v>
                </c:pt>
                <c:pt idx="56">
                  <c:v>-2289.4564662145758</c:v>
                </c:pt>
                <c:pt idx="57">
                  <c:v>-2303.8159945924172</c:v>
                </c:pt>
                <c:pt idx="58">
                  <c:v>-2317.7677892406914</c:v>
                </c:pt>
                <c:pt idx="59">
                  <c:v>-2331.5975047255979</c:v>
                </c:pt>
                <c:pt idx="60">
                  <c:v>-2345.4975112902221</c:v>
                </c:pt>
                <c:pt idx="61">
                  <c:v>-2359.7993618207634</c:v>
                </c:pt>
                <c:pt idx="62">
                  <c:v>-2374.6917475930049</c:v>
                </c:pt>
                <c:pt idx="63">
                  <c:v>-2389.5653187168714</c:v>
                </c:pt>
                <c:pt idx="64">
                  <c:v>-2403.2909500338133</c:v>
                </c:pt>
                <c:pt idx="65">
                  <c:v>-2415.4396298128795</c:v>
                </c:pt>
                <c:pt idx="66">
                  <c:v>-2426.6328123832236</c:v>
                </c:pt>
                <c:pt idx="67">
                  <c:v>-2437.5116166675725</c:v>
                </c:pt>
                <c:pt idx="68">
                  <c:v>-2448.136885962349</c:v>
                </c:pt>
                <c:pt idx="69">
                  <c:v>-2458.5973638203254</c:v>
                </c:pt>
                <c:pt idx="70">
                  <c:v>-2469.2517805393518</c:v>
                </c:pt>
                <c:pt idx="71">
                  <c:v>-2479.9727411670283</c:v>
                </c:pt>
                <c:pt idx="72">
                  <c:v>-2489.8927876041048</c:v>
                </c:pt>
                <c:pt idx="73">
                  <c:v>-2498.1520568928563</c:v>
                </c:pt>
                <c:pt idx="74">
                  <c:v>-2504.2520134373576</c:v>
                </c:pt>
                <c:pt idx="75">
                  <c:v>-2507.5547398058593</c:v>
                </c:pt>
                <c:pt idx="76">
                  <c:v>-2507.191085021861</c:v>
                </c:pt>
                <c:pt idx="77">
                  <c:v>-2503.0167757943623</c:v>
                </c:pt>
                <c:pt idx="78">
                  <c:v>-2496.5250835100637</c:v>
                </c:pt>
                <c:pt idx="79">
                  <c:v>-2490.4701778956651</c:v>
                </c:pt>
                <c:pt idx="80">
                  <c:v>-2487.3292264317165</c:v>
                </c:pt>
                <c:pt idx="81">
                  <c:v>-2487.8178849775181</c:v>
                </c:pt>
                <c:pt idx="82">
                  <c:v>-2490.6290028189946</c:v>
                </c:pt>
                <c:pt idx="83">
                  <c:v>-2493.4653964295712</c:v>
                </c:pt>
                <c:pt idx="84">
                  <c:v>-2494.2013443553228</c:v>
                </c:pt>
                <c:pt idx="85">
                  <c:v>-2491.3823612263241</c:v>
                </c:pt>
                <c:pt idx="86">
                  <c:v>-2484.6246023160757</c:v>
                </c:pt>
                <c:pt idx="87">
                  <c:v>-2475.1142780982523</c:v>
                </c:pt>
                <c:pt idx="88">
                  <c:v>-2465.1309520250288</c:v>
                </c:pt>
                <c:pt idx="89">
                  <c:v>-2456.4545225584802</c:v>
                </c:pt>
                <c:pt idx="90">
                  <c:v>-2449.3888024916318</c:v>
                </c:pt>
                <c:pt idx="91">
                  <c:v>-2443.3390785003335</c:v>
                </c:pt>
                <c:pt idx="92">
                  <c:v>-2437.7039224526125</c:v>
                </c:pt>
                <c:pt idx="93">
                  <c:v>-2431.9217218049967</c:v>
                </c:pt>
                <c:pt idx="94">
                  <c:v>-2425.2263596698081</c:v>
                </c:pt>
                <c:pt idx="95">
                  <c:v>-2416.9744757816698</c:v>
                </c:pt>
                <c:pt idx="96">
                  <c:v>-2407.1311299550312</c:v>
                </c:pt>
                <c:pt idx="97">
                  <c:v>-2396.1356143651929</c:v>
                </c:pt>
                <c:pt idx="98">
                  <c:v>-2384.5188211432041</c:v>
                </c:pt>
                <c:pt idx="99">
                  <c:v>-2372.9828135627658</c:v>
                </c:pt>
                <c:pt idx="100">
                  <c:v>-2362.5249351373272</c:v>
                </c:pt>
                <c:pt idx="101">
                  <c:v>-2353.8752211403889</c:v>
                </c:pt>
                <c:pt idx="102">
                  <c:v>-2346.7392579122507</c:v>
                </c:pt>
                <c:pt idx="103">
                  <c:v>-2339.9209572817117</c:v>
                </c:pt>
                <c:pt idx="104">
                  <c:v>-2332.2394878889736</c:v>
                </c:pt>
                <c:pt idx="105">
                  <c:v>-2323.0814595362353</c:v>
                </c:pt>
                <c:pt idx="106">
                  <c:v>-2312.1640427557468</c:v>
                </c:pt>
                <c:pt idx="107">
                  <c:v>-2299.441857225258</c:v>
                </c:pt>
                <c:pt idx="108">
                  <c:v>-2285.6221426663942</c:v>
                </c:pt>
                <c:pt idx="109">
                  <c:v>-2272.1155596015305</c:v>
                </c:pt>
                <c:pt idx="110">
                  <c:v>-2259.856976780542</c:v>
                </c:pt>
                <c:pt idx="111">
                  <c:v>-2248.6627196063037</c:v>
                </c:pt>
                <c:pt idx="112">
                  <c:v>-2238.0410784476398</c:v>
                </c:pt>
                <c:pt idx="113">
                  <c:v>-2227.6829467616262</c:v>
                </c:pt>
                <c:pt idx="114">
                  <c:v>-2216.8091856076881</c:v>
                </c:pt>
                <c:pt idx="115">
                  <c:v>-2204.2959256132499</c:v>
                </c:pt>
                <c:pt idx="116">
                  <c:v>-2190.0256031554864</c:v>
                </c:pt>
                <c:pt idx="117">
                  <c:v>-2175.0621923188983</c:v>
                </c:pt>
                <c:pt idx="118">
                  <c:v>-2160.1417132144843</c:v>
                </c:pt>
                <c:pt idx="119">
                  <c:v>-2145.0581375280453</c:v>
                </c:pt>
                <c:pt idx="120">
                  <c:v>-2129.7500618843569</c:v>
                </c:pt>
                <c:pt idx="121">
                  <c:v>-2114.900546995118</c:v>
                </c:pt>
                <c:pt idx="122">
                  <c:v>-2101.1480787246292</c:v>
                </c:pt>
                <c:pt idx="123">
                  <c:v>-2088.3421936817904</c:v>
                </c:pt>
                <c:pt idx="124">
                  <c:v>-2075.6371801477517</c:v>
                </c:pt>
                <c:pt idx="125">
                  <c:v>-2062.021959484613</c:v>
                </c:pt>
                <c:pt idx="126">
                  <c:v>-2046.9382395779749</c:v>
                </c:pt>
                <c:pt idx="127">
                  <c:v>-2030.5525960138611</c:v>
                </c:pt>
                <c:pt idx="128">
                  <c:v>-2013.4017359823983</c:v>
                </c:pt>
                <c:pt idx="129">
                  <c:v>-1995.9704348956357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00-4086-8680-2A5A00A32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133648"/>
        <c:axId val="468137256"/>
      </c:scatterChart>
      <c:valAx>
        <c:axId val="46813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Координата</a:t>
                </a:r>
                <a:r>
                  <a:rPr lang="ru-RU" baseline="0"/>
                  <a:t> </a:t>
                </a:r>
                <a:r>
                  <a:rPr lang="en-US" baseline="0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137256"/>
        <c:crosses val="autoZero"/>
        <c:crossBetween val="midCat"/>
      </c:valAx>
      <c:valAx>
        <c:axId val="46813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Координата </a:t>
                </a:r>
                <a:r>
                  <a:rPr lang="en-US" baseline="0"/>
                  <a:t>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13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'Ур-ие движ. т 1,2 3-6 угол пов '!$B$3:$B$5</c:f>
              <c:numCache>
                <c:formatCode>General</c:formatCode>
                <c:ptCount val="3"/>
                <c:pt idx="0">
                  <c:v>0.5243992549803842</c:v>
                </c:pt>
                <c:pt idx="1">
                  <c:v>0.69836664526303605</c:v>
                </c:pt>
                <c:pt idx="2">
                  <c:v>0.87173295234216985</c:v>
                </c:pt>
              </c:numCache>
            </c:numRef>
          </c:xVal>
          <c:yVal>
            <c:numRef>
              <c:f>'Ур-ие движ. т 1,2 3-6 угол пов '!$C$3:$C$5</c:f>
              <c:numCache>
                <c:formatCode>General</c:formatCode>
                <c:ptCount val="3"/>
                <c:pt idx="0">
                  <c:v>2.8010146794003354</c:v>
                </c:pt>
                <c:pt idx="1">
                  <c:v>2.7379109128808548</c:v>
                </c:pt>
                <c:pt idx="2">
                  <c:v>2.6751024046406924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97-454A-8DB8-B45FE81E5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911256"/>
        <c:axId val="542115520"/>
      </c:scatterChart>
      <c:valAx>
        <c:axId val="812911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2115520"/>
        <c:crosses val="autoZero"/>
        <c:crossBetween val="midCat"/>
      </c:valAx>
      <c:valAx>
        <c:axId val="54211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12911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501377952755902"/>
          <c:y val="6.4814814814814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'Ур-ие движ. т 1,2 3-6 угол пов '!$AD$2:$AD$19</c:f>
              <c:numCache>
                <c:formatCode>General</c:formatCode>
                <c:ptCount val="18"/>
                <c:pt idx="0">
                  <c:v>0.5243992549803842</c:v>
                </c:pt>
                <c:pt idx="1">
                  <c:v>0.69836664526303605</c:v>
                </c:pt>
                <c:pt idx="2">
                  <c:v>0.87173295234216985</c:v>
                </c:pt>
                <c:pt idx="3">
                  <c:v>2.4037844965522011</c:v>
                </c:pt>
                <c:pt idx="4">
                  <c:v>2.5777518868348528</c:v>
                </c:pt>
                <c:pt idx="5">
                  <c:v>2.7511181939139866</c:v>
                </c:pt>
                <c:pt idx="6">
                  <c:v>6.5045751230215032</c:v>
                </c:pt>
                <c:pt idx="7">
                  <c:v>6.678542513304154</c:v>
                </c:pt>
                <c:pt idx="8">
                  <c:v>6.8519088203832892</c:v>
                </c:pt>
                <c:pt idx="9">
                  <c:v>5.8205348363701654</c:v>
                </c:pt>
                <c:pt idx="10">
                  <c:v>5.9945022266528172</c:v>
                </c:pt>
                <c:pt idx="11">
                  <c:v>6.1678685337319514</c:v>
                </c:pt>
                <c:pt idx="12">
                  <c:v>3.6854798765901404</c:v>
                </c:pt>
                <c:pt idx="13">
                  <c:v>3.8594472668727922</c:v>
                </c:pt>
                <c:pt idx="14">
                  <c:v>4.032813573951926</c:v>
                </c:pt>
                <c:pt idx="15">
                  <c:v>3.1054647994413989</c:v>
                </c:pt>
                <c:pt idx="16">
                  <c:v>3.2794321897240497</c:v>
                </c:pt>
                <c:pt idx="17">
                  <c:v>3.4527984968031844</c:v>
                </c:pt>
              </c:numCache>
            </c:numRef>
          </c:xVal>
          <c:yVal>
            <c:numRef>
              <c:f>'Ур-ие движ. т 1,2 3-6 угол пов '!$AE$2:$AE$19</c:f>
              <c:numCache>
                <c:formatCode>General</c:formatCode>
                <c:ptCount val="18"/>
                <c:pt idx="0">
                  <c:v>2.8010146794003354</c:v>
                </c:pt>
                <c:pt idx="1">
                  <c:v>2.7379109128808548</c:v>
                </c:pt>
                <c:pt idx="2">
                  <c:v>2.6751024046406924</c:v>
                </c:pt>
                <c:pt idx="3">
                  <c:v>2.1169743927489981</c:v>
                </c:pt>
                <c:pt idx="4">
                  <c:v>2.053870626229517</c:v>
                </c:pt>
                <c:pt idx="5">
                  <c:v>1.9910621179893551</c:v>
                </c:pt>
                <c:pt idx="6">
                  <c:v>1.6885864402322317</c:v>
                </c:pt>
                <c:pt idx="7">
                  <c:v>1.6254826737127497</c:v>
                </c:pt>
                <c:pt idx="8">
                  <c:v>1.5626741654725886</c:v>
                </c:pt>
                <c:pt idx="9">
                  <c:v>-0.19079880133958449</c:v>
                </c:pt>
                <c:pt idx="10">
                  <c:v>-0.25390256785906651</c:v>
                </c:pt>
                <c:pt idx="11">
                  <c:v>-0.31671107609922755</c:v>
                </c:pt>
                <c:pt idx="12">
                  <c:v>2.8880164246890176</c:v>
                </c:pt>
                <c:pt idx="13">
                  <c:v>2.8249126581695361</c:v>
                </c:pt>
                <c:pt idx="14">
                  <c:v>2.7621041499293746</c:v>
                </c:pt>
                <c:pt idx="15">
                  <c:v>0.9739677026654272</c:v>
                </c:pt>
                <c:pt idx="16">
                  <c:v>0.91086393614594607</c:v>
                </c:pt>
                <c:pt idx="17">
                  <c:v>0.84805542790578414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55-4016-80FF-BF59A5BE1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526432"/>
        <c:axId val="742526760"/>
      </c:scatterChart>
      <c:valAx>
        <c:axId val="7425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526760"/>
        <c:crosses val="autoZero"/>
        <c:crossBetween val="midCat"/>
      </c:valAx>
      <c:valAx>
        <c:axId val="742526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5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47625</xdr:colOff>
      <xdr:row>19</xdr:row>
      <xdr:rowOff>104775</xdr:rowOff>
    </xdr:from>
    <xdr:ext cx="65" cy="172227"/>
    <xdr:sp macro="" textlink="">
      <xdr:nvSpPr>
        <xdr:cNvPr id="2" name="TextBox 1"/>
        <xdr:cNvSpPr txBox="1"/>
      </xdr:nvSpPr>
      <xdr:spPr>
        <a:xfrm>
          <a:off x="8582025" y="3724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249455</xdr:colOff>
      <xdr:row>0</xdr:row>
      <xdr:rowOff>3300</xdr:rowOff>
    </xdr:from>
    <xdr:ext cx="209550" cy="1714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859553" y="3300"/>
              <a:ext cx="209550" cy="1714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859553" y="3300"/>
              <a:ext cx="209550" cy="1714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𝑎_𝑥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</xdr:col>
      <xdr:colOff>121771</xdr:colOff>
      <xdr:row>0</xdr:row>
      <xdr:rowOff>1</xdr:rowOff>
    </xdr:from>
    <xdr:ext cx="33891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952065" y="1"/>
              <a:ext cx="3389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/>
                <a:t>△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ru-RU" sz="110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ru-RU" sz="1100" i="1">
                          <a:latin typeface="Cambria Math" panose="02040503050406030204" pitchFamily="18" charset="0"/>
                        </a:rPr>
                        <m:t>𝑥</m:t>
                      </m:r>
                    </m:sub>
                  </m:sSub>
                </m:oMath>
              </a14:m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952065" y="1"/>
              <a:ext cx="3389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ru-RU" sz="1100"/>
                <a:t>△</a:t>
              </a:r>
              <a:r>
                <a:rPr lang="ru-RU" sz="1100" i="0">
                  <a:latin typeface="Cambria Math" panose="02040503050406030204" pitchFamily="18" charset="0"/>
                </a:rPr>
                <a:t>𝑣_𝑥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5</xdr:col>
      <xdr:colOff>146673</xdr:colOff>
      <xdr:row>0</xdr:row>
      <xdr:rowOff>12451</xdr:rowOff>
    </xdr:from>
    <xdr:ext cx="38249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3197163" y="12451"/>
              <a:ext cx="3824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0">
                  <a:latin typeface="+mn-lt"/>
                </a:rPr>
                <a:t>int</a:t>
              </a:r>
              <a:r>
                <a:rPr lang="en-US" sz="1100" i="0" baseline="0">
                  <a:latin typeface="+mn-lt"/>
                </a:rPr>
                <a:t> </a:t>
              </a:r>
              <a14:m>
                <m:oMath xmlns:m="http://schemas.openxmlformats.org/officeDocument/2006/math">
                  <m:r>
                    <a:rPr lang="ru-RU" sz="1100" i="1">
                      <a:latin typeface="Cambria Math" panose="02040503050406030204" pitchFamily="18" charset="0"/>
                    </a:rPr>
                    <m:t>𝑥</m:t>
                  </m:r>
                </m:oMath>
              </a14:m>
              <a:endParaRPr lang="ru-RU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3197163" y="12451"/>
              <a:ext cx="3824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+mn-lt"/>
                </a:rPr>
                <a:t>int</a:t>
              </a:r>
              <a:r>
                <a:rPr lang="en-US" sz="1100" i="0" baseline="0">
                  <a:latin typeface="+mn-lt"/>
                </a:rPr>
                <a:t> </a:t>
              </a:r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endParaRPr lang="ru-RU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47625</xdr:colOff>
      <xdr:row>19</xdr:row>
      <xdr:rowOff>104775</xdr:rowOff>
    </xdr:from>
    <xdr:ext cx="65" cy="172227"/>
    <xdr:sp macro="" textlink="">
      <xdr:nvSpPr>
        <xdr:cNvPr id="2" name="TextBox 1"/>
        <xdr:cNvSpPr txBox="1"/>
      </xdr:nvSpPr>
      <xdr:spPr>
        <a:xfrm>
          <a:off x="8582025" y="3724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239882</xdr:colOff>
      <xdr:row>0</xdr:row>
      <xdr:rowOff>0</xdr:rowOff>
    </xdr:from>
    <xdr:ext cx="184025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51823" y="0"/>
              <a:ext cx="184025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51823" y="0"/>
              <a:ext cx="184025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𝑎_𝑦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</xdr:col>
      <xdr:colOff>121771</xdr:colOff>
      <xdr:row>0</xdr:row>
      <xdr:rowOff>1</xdr:rowOff>
    </xdr:from>
    <xdr:ext cx="338916" cy="172227"/>
    <xdr:sp macro="" textlink="">
      <xdr:nvSpPr>
        <xdr:cNvPr id="7" name="TextBox 6"/>
        <xdr:cNvSpPr txBox="1"/>
      </xdr:nvSpPr>
      <xdr:spPr>
        <a:xfrm>
          <a:off x="1950571" y="1"/>
          <a:ext cx="338916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184026</xdr:colOff>
      <xdr:row>0</xdr:row>
      <xdr:rowOff>0</xdr:rowOff>
    </xdr:from>
    <xdr:ext cx="245534" cy="172227"/>
    <xdr:sp macro="" textlink="">
      <xdr:nvSpPr>
        <xdr:cNvPr id="8" name="TextBox 7"/>
        <xdr:cNvSpPr txBox="1"/>
      </xdr:nvSpPr>
      <xdr:spPr>
        <a:xfrm>
          <a:off x="3243733" y="0"/>
          <a:ext cx="245534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</xdr:col>
      <xdr:colOff>180922</xdr:colOff>
      <xdr:row>0</xdr:row>
      <xdr:rowOff>0</xdr:rowOff>
    </xdr:from>
    <xdr:ext cx="303310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2016746" y="0"/>
              <a:ext cx="303310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/>
                <a:t>△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ru-RU" sz="110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ru-RU" sz="1100" i="1">
                          <a:latin typeface="Cambria Math" panose="02040503050406030204" pitchFamily="18" charset="0"/>
                        </a:rPr>
                        <m:t>𝑦</m:t>
                      </m:r>
                    </m:sub>
                  </m:sSub>
                </m:oMath>
              </a14:m>
              <a:endParaRPr lang="ru-RU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2016746" y="0"/>
              <a:ext cx="303310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ru-RU" sz="1100"/>
                <a:t>△</a:t>
              </a:r>
              <a:r>
                <a:rPr lang="ru-RU" sz="1100" i="0">
                  <a:latin typeface="Cambria Math" panose="02040503050406030204" pitchFamily="18" charset="0"/>
                </a:rPr>
                <a:t>𝑣_𝑦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5</xdr:col>
      <xdr:colOff>127709</xdr:colOff>
      <xdr:row>0</xdr:row>
      <xdr:rowOff>0</xdr:rowOff>
    </xdr:from>
    <xdr:ext cx="37780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3187416" y="0"/>
              <a:ext cx="3778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/>
                <a:t>int </a:t>
              </a:r>
              <a14:m>
                <m:oMath xmlns:m="http://schemas.openxmlformats.org/officeDocument/2006/math">
                  <m:r>
                    <a:rPr lang="ru-RU" sz="1100" i="1">
                      <a:latin typeface="Cambria Math" panose="02040503050406030204" pitchFamily="18" charset="0"/>
                    </a:rPr>
                    <m:t>𝑦</m:t>
                  </m:r>
                </m:oMath>
              </a14:m>
              <a:endParaRPr lang="ru-RU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3187416" y="0"/>
              <a:ext cx="3778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/>
                <a:t>int </a:t>
              </a:r>
              <a:r>
                <a:rPr lang="ru-RU" sz="1100" i="0">
                  <a:latin typeface="Cambria Math" panose="02040503050406030204" pitchFamily="18" charset="0"/>
                </a:rPr>
                <a:t>𝑦</a:t>
              </a:r>
              <a:endParaRPr lang="ru-RU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273788</xdr:colOff>
      <xdr:row>0</xdr:row>
      <xdr:rowOff>0</xdr:rowOff>
    </xdr:from>
    <xdr:ext cx="1730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882945" y="0"/>
              <a:ext cx="1730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𝑧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882945" y="0"/>
              <a:ext cx="1730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𝑎_𝑧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</xdr:col>
      <xdr:colOff>121771</xdr:colOff>
      <xdr:row>0</xdr:row>
      <xdr:rowOff>1</xdr:rowOff>
    </xdr:from>
    <xdr:ext cx="338916" cy="172227"/>
    <xdr:sp macro="" textlink="">
      <xdr:nvSpPr>
        <xdr:cNvPr id="7" name="TextBox 6"/>
        <xdr:cNvSpPr txBox="1"/>
      </xdr:nvSpPr>
      <xdr:spPr>
        <a:xfrm>
          <a:off x="1950571" y="1"/>
          <a:ext cx="338916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184026</xdr:colOff>
      <xdr:row>0</xdr:row>
      <xdr:rowOff>0</xdr:rowOff>
    </xdr:from>
    <xdr:ext cx="245534" cy="172227"/>
    <xdr:sp macro="" textlink="">
      <xdr:nvSpPr>
        <xdr:cNvPr id="8" name="TextBox 7"/>
        <xdr:cNvSpPr txBox="1"/>
      </xdr:nvSpPr>
      <xdr:spPr>
        <a:xfrm>
          <a:off x="3229811" y="0"/>
          <a:ext cx="245534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</xdr:col>
      <xdr:colOff>149521</xdr:colOff>
      <xdr:row>0</xdr:row>
      <xdr:rowOff>2436</xdr:rowOff>
    </xdr:from>
    <xdr:ext cx="4817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1976992" y="2436"/>
              <a:ext cx="4817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/>
                <a:t>△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ru-RU" sz="1100" i="1">
                          <a:latin typeface="Cambria Math" panose="02040503050406030204" pitchFamily="18" charset="0"/>
                        </a:rPr>
                        <m:t>𝑧</m:t>
                      </m:r>
                    </m:sub>
                  </m:sSub>
                </m:oMath>
              </a14:m>
              <a:endParaRPr lang="ru-RU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976992" y="2436"/>
              <a:ext cx="4817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ru-RU" sz="1100"/>
                <a:t>△</a:t>
              </a:r>
              <a:r>
                <a:rPr lang="en-US" sz="1100" b="0" i="0">
                  <a:latin typeface="Cambria Math" panose="02040503050406030204" pitchFamily="18" charset="0"/>
                </a:rPr>
                <a:t>𝑣</a:t>
              </a:r>
              <a:r>
                <a:rPr lang="ru-RU" sz="1100" b="0" i="0"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𝑧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5</xdr:col>
      <xdr:colOff>215975</xdr:colOff>
      <xdr:row>0</xdr:row>
      <xdr:rowOff>0</xdr:rowOff>
    </xdr:from>
    <xdr:ext cx="34888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3261760" y="0"/>
              <a:ext cx="34888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𝑖𝑛𝑡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𝑧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3261760" y="0"/>
              <a:ext cx="34888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𝑖𝑛𝑡 𝑧</a:t>
              </a:r>
              <a:endParaRPr lang="ru-RU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180975</xdr:colOff>
      <xdr:row>0</xdr:row>
      <xdr:rowOff>28575</xdr:rowOff>
    </xdr:from>
    <xdr:ext cx="1726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2630261" y="28575"/>
              <a:ext cx="1726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2630261" y="28575"/>
              <a:ext cx="1726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𝑣</a:t>
              </a:r>
              <a:r>
                <a:rPr lang="ru-RU" sz="1100" b="0" i="0"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0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7</xdr:col>
      <xdr:colOff>152400</xdr:colOff>
      <xdr:row>0</xdr:row>
      <xdr:rowOff>0</xdr:rowOff>
    </xdr:from>
    <xdr:ext cx="408207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4742761" y="0"/>
              <a:ext cx="408207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4742761" y="0"/>
              <a:ext cx="408207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𝑣</a:t>
              </a:r>
              <a:r>
                <a:rPr lang="ru-RU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0𝑦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123826</xdr:colOff>
      <xdr:row>0</xdr:row>
      <xdr:rowOff>0</xdr:rowOff>
    </xdr:from>
    <xdr:ext cx="4136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5943601" y="0"/>
              <a:ext cx="4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5943601" y="0"/>
              <a:ext cx="4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𝑣</a:t>
              </a:r>
              <a:r>
                <a:rPr lang="ru-RU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0𝑥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4</xdr:col>
      <xdr:colOff>238125</xdr:colOff>
      <xdr:row>1</xdr:row>
      <xdr:rowOff>19051</xdr:rowOff>
    </xdr:from>
    <xdr:ext cx="4857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/>
            <xdr:cNvSpPr txBox="1"/>
          </xdr:nvSpPr>
          <xdr:spPr>
            <a:xfrm>
              <a:off x="2676525" y="209551"/>
              <a:ext cx="4857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</a:rPr>
                      <m:t>𝛼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2676525" y="209551"/>
              <a:ext cx="4857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𝛼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4</xdr:col>
      <xdr:colOff>133349</xdr:colOff>
      <xdr:row>2</xdr:row>
      <xdr:rowOff>0</xdr:rowOff>
    </xdr:from>
    <xdr:ext cx="695325" cy="18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/>
            <xdr:cNvSpPr txBox="1"/>
          </xdr:nvSpPr>
          <xdr:spPr>
            <a:xfrm>
              <a:off x="2566241" y="390181"/>
              <a:ext cx="695325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sub>
                    </m:sSub>
                    <m:r>
                      <a:rPr lang="ru-RU" sz="1100" i="1"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2566241" y="390181"/>
              <a:ext cx="695325" cy="18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𝑣</a:t>
              </a:r>
              <a:r>
                <a:rPr lang="ru-RU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0𝑦</a:t>
              </a:r>
              <a:r>
                <a:rPr lang="ru-RU" sz="1100" b="0" i="0">
                  <a:latin typeface="Cambria Math" panose="02040503050406030204" pitchFamily="18" charset="0"/>
                </a:rPr>
                <a:t> </a:t>
              </a:r>
              <a:r>
                <a:rPr lang="ru-RU" sz="1100" i="0">
                  <a:latin typeface="Cambria Math" panose="02040503050406030204" pitchFamily="18" charset="0"/>
                </a:rPr>
                <a:t>𝑡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5</xdr:col>
      <xdr:colOff>62136</xdr:colOff>
      <xdr:row>1</xdr:row>
      <xdr:rowOff>198130</xdr:rowOff>
    </xdr:from>
    <xdr:ext cx="4857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/>
            <xdr:cNvSpPr txBox="1"/>
          </xdr:nvSpPr>
          <xdr:spPr>
            <a:xfrm>
              <a:off x="3438275" y="387633"/>
              <a:ext cx="4857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b>
                    </m:sSub>
                    <m:r>
                      <a:rPr lang="ru-RU" sz="1100" i="1"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3438275" y="387633"/>
              <a:ext cx="4857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𝑣</a:t>
              </a:r>
              <a:r>
                <a:rPr lang="ru-RU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0𝑥</a:t>
              </a:r>
              <a:r>
                <a:rPr lang="ru-RU" sz="1100" b="0" i="0">
                  <a:latin typeface="Cambria Math" panose="02040503050406030204" pitchFamily="18" charset="0"/>
                </a:rPr>
                <a:t> </a:t>
              </a:r>
              <a:r>
                <a:rPr lang="ru-RU" sz="1100" i="0">
                  <a:latin typeface="Cambria Math" panose="02040503050406030204" pitchFamily="18" charset="0"/>
                </a:rPr>
                <a:t>𝑡</a:t>
              </a:r>
              <a:endParaRPr lang="ru-RU" sz="1100"/>
            </a:p>
          </xdr:txBody>
        </xdr:sp>
      </mc:Fallback>
    </mc:AlternateContent>
    <xdr:clientData/>
  </xdr:oneCellAnchor>
  <xdr:twoCellAnchor>
    <xdr:from>
      <xdr:col>12</xdr:col>
      <xdr:colOff>199827</xdr:colOff>
      <xdr:row>3</xdr:row>
      <xdr:rowOff>6493</xdr:rowOff>
    </xdr:from>
    <xdr:to>
      <xdr:col>31</xdr:col>
      <xdr:colOff>335539</xdr:colOff>
      <xdr:row>41</xdr:row>
      <xdr:rowOff>119063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47625</xdr:colOff>
      <xdr:row>17</xdr:row>
      <xdr:rowOff>76200</xdr:rowOff>
    </xdr:from>
    <xdr:ext cx="65" cy="172227"/>
    <xdr:sp macro="" textlink="">
      <xdr:nvSpPr>
        <xdr:cNvPr id="2" name="TextBox 1"/>
        <xdr:cNvSpPr txBox="1"/>
      </xdr:nvSpPr>
      <xdr:spPr>
        <a:xfrm>
          <a:off x="8582025" y="33147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12</xdr:col>
          <xdr:colOff>114300</xdr:colOff>
          <xdr:row>10</xdr:row>
          <xdr:rowOff>180975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4</xdr:col>
      <xdr:colOff>123825</xdr:colOff>
      <xdr:row>10</xdr:row>
      <xdr:rowOff>38100</xdr:rowOff>
    </xdr:from>
    <xdr:ext cx="2428875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562225" y="1943100"/>
              <a:ext cx="24288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m:rPr>
                              <m:sty m:val="p"/>
                            </m:rPr>
                            <a:rPr lang="en-US" sz="2000" b="0" i="1">
                              <a:latin typeface="Cambria Math" panose="02040503050406030204" pitchFamily="18" charset="0"/>
                            </a:rPr>
                            <m:t>x</m:t>
                          </m:r>
                        </m:e>
                      </m:acc>
                    </m:e>
                    <m:sub>
                      <m:sSup>
                        <m:sSup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e>
                        <m:sup>
                          <m:d>
                            <m:dPr>
                              <m:ctrlPr>
                                <a:rPr lang="en-US" sz="20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2000" b="0" i="1">
                                  <a:latin typeface="Cambria Math" panose="02040503050406030204" pitchFamily="18" charset="0"/>
                                </a:rPr>
                                <m:t>0</m:t>
                              </m:r>
                            </m:e>
                          </m:d>
                        </m:sup>
                      </m:sSup>
                    </m:sub>
                  </m:sSub>
                  <m:r>
                    <a:rPr lang="en-US" sz="20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kumimoji="0" lang="en-US" sz="20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kumimoji="0" lang="en-US" sz="20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kumimoji="0" lang="en-US" sz="20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𝑦</m:t>
                          </m:r>
                        </m:e>
                      </m:acc>
                    </m:e>
                    <m:sub>
                      <m:sSup>
                        <m:sSupPr>
                          <m:ctrlPr>
                            <a:rPr kumimoji="0" lang="en-US" sz="20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20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</m:t>
                          </m:r>
                        </m:e>
                        <m:sup>
                          <m:d>
                            <m:dPr>
                              <m:ctrlPr>
                                <a:rPr kumimoji="0" lang="en-US" sz="20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kumimoji="0" lang="en-US" sz="20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</m:t>
                              </m:r>
                            </m:e>
                          </m:d>
                        </m:sup>
                      </m:sSup>
                    </m:sub>
                  </m:sSub>
                </m:oMath>
              </a14:m>
              <a:r>
                <a:rPr lang="en-US" sz="2000"/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20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ru-RU" sz="2000" i="1">
                          <a:latin typeface="Cambria Math" panose="02040503050406030204" pitchFamily="18" charset="0"/>
                        </a:rPr>
                        <m:t>𝑣</m:t>
                      </m:r>
                    </m:e>
                    <m:sub>
                      <m:r>
                        <a:rPr lang="ru-RU" sz="2000" i="0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func>
                    <m:funcPr>
                      <m:ctrlPr>
                        <a:rPr lang="en-US" sz="2000" i="1">
                          <a:latin typeface="Cambria Math" panose="02040503050406030204" pitchFamily="18" charset="0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2000" i="0">
                          <a:latin typeface="Cambria Math" panose="02040503050406030204" pitchFamily="18" charset="0"/>
                        </a:rPr>
                        <m:t>cos</m:t>
                      </m:r>
                    </m:fName>
                    <m:e>
                      <m:r>
                        <a:rPr lang="en-US" sz="20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𝛾</m:t>
                      </m:r>
                    </m:e>
                  </m:func>
                </m:oMath>
              </a14:m>
              <a:r>
                <a:rPr lang="en-US" sz="2000"/>
                <a:t>=</a:t>
              </a:r>
              <a:endParaRPr lang="ru-RU" sz="20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562225" y="1943100"/>
              <a:ext cx="24288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2000" b="0" i="0">
                  <a:latin typeface="Cambria Math" panose="02040503050406030204" pitchFamily="18" charset="0"/>
                </a:rPr>
                <a:t>x ̇_(2^((0) ) )=</a:t>
              </a:r>
              <a:r>
                <a:rPr kumimoji="0" lang="en-US" sz="20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𝑦 ̇_(1^((0) ) )</a:t>
              </a:r>
              <a:r>
                <a:rPr lang="en-US" sz="2000"/>
                <a:t>=</a:t>
              </a:r>
              <a:r>
                <a:rPr lang="ru-RU" sz="2000" i="0">
                  <a:latin typeface="Cambria Math" panose="02040503050406030204" pitchFamily="18" charset="0"/>
                </a:rPr>
                <a:t>𝑣_0</a:t>
              </a:r>
              <a:r>
                <a:rPr lang="en-US" sz="2000" i="0">
                  <a:latin typeface="Cambria Math" panose="02040503050406030204" pitchFamily="18" charset="0"/>
                </a:rPr>
                <a:t>  cos⁡</a:t>
              </a:r>
              <a:r>
                <a:rPr lang="en-US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r>
                <a:rPr lang="en-US" sz="2000"/>
                <a:t>=</a:t>
              </a:r>
              <a:endParaRPr lang="ru-RU" sz="2000"/>
            </a:p>
          </xdr:txBody>
        </xdr:sp>
      </mc:Fallback>
    </mc:AlternateContent>
    <xdr:clientData/>
  </xdr:oneCellAnchor>
  <xdr:oneCellAnchor>
    <xdr:from>
      <xdr:col>4</xdr:col>
      <xdr:colOff>104775</xdr:colOff>
      <xdr:row>12</xdr:row>
      <xdr:rowOff>66675</xdr:rowOff>
    </xdr:from>
    <xdr:ext cx="2428875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2543175" y="2352675"/>
              <a:ext cx="2428875" cy="390525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kumimoji="0" lang="en-US" sz="20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kumimoji="0" lang="en-US" sz="20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kumimoji="0" lang="en-US" sz="20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𝑦</m:t>
                          </m:r>
                        </m:e>
                      </m:acc>
                    </m:e>
                    <m:sub>
                      <m:sSup>
                        <m:sSupPr>
                          <m:ctrlPr>
                            <a:rPr kumimoji="0" lang="en-US" sz="20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20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e>
                        <m:sup>
                          <m:d>
                            <m:dPr>
                              <m:ctrlPr>
                                <a:rPr kumimoji="0" lang="en-US" sz="20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kumimoji="0" lang="en-US" sz="20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</m:t>
                              </m:r>
                            </m:e>
                          </m:d>
                        </m:sup>
                      </m:sSup>
                    </m:sub>
                  </m:sSub>
                  <m:r>
                    <a:rPr kumimoji="0" lang="en-US" sz="2000" b="0" i="1" u="none" strike="noStrike" kern="0" cap="none" spc="0" normalizeH="0" baseline="0" noProof="0" smtClean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sSub>
                    <m:sSubPr>
                      <m:ctrlPr>
                        <a:rPr kumimoji="0" lang="en-US" sz="20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kumimoji="0" lang="en-US" sz="20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kumimoji="0" lang="en-US" sz="20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𝑦</m:t>
                          </m:r>
                        </m:e>
                      </m:acc>
                    </m:e>
                    <m:sub>
                      <m:sSup>
                        <m:sSupPr>
                          <m:ctrlPr>
                            <a:rPr kumimoji="0" lang="en-US" sz="20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20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</m:t>
                          </m:r>
                        </m:e>
                        <m:sup>
                          <m:d>
                            <m:dPr>
                              <m:ctrlPr>
                                <a:rPr kumimoji="0" lang="en-US" sz="20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kumimoji="0" lang="en-US" sz="20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</m:t>
                              </m:r>
                            </m:e>
                          </m:d>
                        </m:sup>
                      </m:sSup>
                    </m:sub>
                  </m:sSub>
                </m:oMath>
              </a14:m>
              <a:r>
                <a:rPr kumimoji="0" lang="en-US" sz="20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20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ru-RU" sz="20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kumimoji="0" lang="ru-RU" sz="2000" b="0" i="0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</m:t>
                      </m:r>
                    </m:sub>
                  </m:sSub>
                  <m:func>
                    <m:funcPr>
                      <m:ctrlPr>
                        <a:rPr kumimoji="0" lang="en-US" sz="20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kumimoji="0" lang="en-US" sz="2000" b="0" i="0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cos</m:t>
                      </m:r>
                    </m:fName>
                    <m:e>
                      <m:r>
                        <a:rPr kumimoji="0" lang="en-US" sz="20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𝛾</m:t>
                      </m:r>
                    </m:e>
                  </m:func>
                </m:oMath>
              </a14:m>
              <a:r>
                <a:rPr kumimoji="0" lang="en-US" sz="20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=</a:t>
              </a:r>
              <a:endParaRPr kumimoji="0" lang="ru-RU" sz="20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2543175" y="2352675"/>
              <a:ext cx="2428875" cy="390525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20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𝑦 ̇_(2^((0) ) )=</a:t>
              </a:r>
              <a:r>
                <a:rPr kumimoji="0" lang="en-US" sz="20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𝑦 ̇_(1^((0) ) )</a:t>
              </a:r>
              <a:r>
                <a:rPr kumimoji="0" lang="en-US" sz="20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=</a:t>
              </a:r>
              <a:r>
                <a:rPr kumimoji="0" lang="ru-RU" sz="20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𝑣_0</a:t>
              </a:r>
              <a:r>
                <a:rPr kumimoji="0" lang="en-US" sz="20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 cos⁡</a:t>
              </a:r>
              <a:r>
                <a:rPr kumimoji="0" lang="en-US" sz="20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kumimoji="0" lang="en-US" sz="20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=</a:t>
              </a:r>
              <a:endParaRPr kumimoji="0" lang="ru-RU" sz="20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10</xdr:col>
      <xdr:colOff>38100</xdr:colOff>
      <xdr:row>15</xdr:row>
      <xdr:rowOff>9525</xdr:rowOff>
    </xdr:from>
    <xdr:to>
      <xdr:col>17</xdr:col>
      <xdr:colOff>285750</xdr:colOff>
      <xdr:row>25</xdr:row>
      <xdr:rowOff>76200</xdr:rowOff>
    </xdr:to>
    <xdr:grpSp>
      <xdr:nvGrpSpPr>
        <xdr:cNvPr id="4" name="Группа 3"/>
        <xdr:cNvGrpSpPr/>
      </xdr:nvGrpSpPr>
      <xdr:grpSpPr>
        <a:xfrm>
          <a:off x="6134100" y="2867025"/>
          <a:ext cx="4514850" cy="1971675"/>
          <a:chOff x="7562850" y="2809875"/>
          <a:chExt cx="4514850" cy="19716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2" name="Group Box 2" hidden="1">
                <a:extLst>
                  <a:ext uri="{63B3BB69-23CF-44E3-9099-C40C66FF867C}">
                    <a14:compatExt spid="_x0000_s5122"/>
                  </a:ext>
                </a:extLst>
              </xdr:cNvPr>
              <xdr:cNvSpPr/>
            </xdr:nvSpPr>
            <xdr:spPr bwMode="auto">
              <a:xfrm>
                <a:off x="7562850" y="2809875"/>
                <a:ext cx="4514850" cy="1971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Окно группы 2</a:t>
                </a:r>
              </a:p>
            </xdr:txBody>
          </xdr:sp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1" name="TextBox 10"/>
              <xdr:cNvSpPr txBox="1"/>
            </xdr:nvSpPr>
            <xdr:spPr>
              <a:xfrm>
                <a:off x="7791450" y="3019425"/>
                <a:ext cx="2428875" cy="39052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noAutofit/>
              </a:bodyPr>
              <a:lstStyle/>
              <a:p>
                <a14:m>
                  <m:oMath xmlns:m="http://schemas.openxmlformats.org/officeDocument/2006/math">
                    <m:sSub>
                      <m:sSub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̇"/>
                            <m:ctrlPr>
                              <a:rPr lang="en-US" sz="20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m:rPr>
                                <m:sty m:val="p"/>
                              </m:rPr>
                              <a:rPr lang="en-US" sz="2000" b="0" i="1">
                                <a:latin typeface="Cambria Math" panose="02040503050406030204" pitchFamily="18" charset="0"/>
                              </a:rPr>
                              <m:t>x</m:t>
                            </m:r>
                          </m:e>
                        </m:acc>
                      </m:e>
                      <m:sub>
                        <m:sSup>
                          <m:sSupPr>
                            <m:ctrlPr>
                              <a:rPr lang="en-US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e>
                          <m:sup>
                            <m:d>
                              <m:dPr>
                                <m:ctrlP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e>
                            </m:d>
                          </m:sup>
                        </m:sSup>
                      </m:sub>
                    </m:sSub>
                    <m:r>
                      <a:rPr lang="en-US" sz="20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kumimoji="0" lang="en-US" sz="20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̇"/>
                            <m:ctrlPr>
                              <a:rPr kumimoji="0" lang="en-US" sz="20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kumimoji="0" lang="en-US" sz="20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sSup>
                          <m:sSupPr>
                            <m:ctrlPr>
                              <a:rPr kumimoji="0" lang="en-US" sz="20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kumimoji="0" lang="en-US" sz="20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e>
                          <m:sup>
                            <m:d>
                              <m:dPr>
                                <m:ctrlPr>
                                  <a:rPr kumimoji="0" lang="en-US" sz="20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kumimoji="0" lang="en-US" sz="20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e>
                            </m:d>
                          </m:sup>
                        </m:sSup>
                      </m:sub>
                    </m:sSub>
                  </m:oMath>
                </a14:m>
                <a:r>
                  <a:rPr lang="en-US" sz="2000"/>
                  <a:t>=</a:t>
                </a:r>
                <a14:m>
                  <m:oMath xmlns:m="http://schemas.openxmlformats.org/officeDocument/2006/math">
                    <m:sSub>
                      <m:sSubPr>
                        <m:ctrlPr>
                          <a:rPr lang="ru-RU" sz="20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200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ru-RU" sz="2000" i="0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func>
                      <m:funcPr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2000" i="0">
                            <a:latin typeface="Cambria Math" panose="02040503050406030204" pitchFamily="18" charset="0"/>
                          </a:rPr>
                          <m:t>cos</m:t>
                        </m:r>
                      </m:fName>
                      <m:e>
                        <m:r>
                          <a:rPr lang="en-US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e>
                    </m:func>
                  </m:oMath>
                </a14:m>
                <a:r>
                  <a:rPr lang="en-US" sz="2000"/>
                  <a:t>=</a:t>
                </a:r>
                <a:endParaRPr lang="ru-RU" sz="2000"/>
              </a:p>
            </xdr:txBody>
          </xdr:sp>
        </mc:Choice>
        <mc:Fallback xmlns="">
          <xdr:sp macro="" textlink="">
            <xdr:nvSpPr>
              <xdr:cNvPr id="11" name="TextBox 10"/>
              <xdr:cNvSpPr txBox="1"/>
            </xdr:nvSpPr>
            <xdr:spPr>
              <a:xfrm>
                <a:off x="7791450" y="3019425"/>
                <a:ext cx="2428875" cy="39052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noAutofit/>
              </a:bodyPr>
              <a:lstStyle/>
              <a:p>
                <a:r>
                  <a:rPr lang="en-US" sz="2000" b="0" i="0">
                    <a:latin typeface="Cambria Math" panose="02040503050406030204" pitchFamily="18" charset="0"/>
                  </a:rPr>
                  <a:t>x ̇_(2^((0) ) )=</a:t>
                </a:r>
                <a:r>
                  <a:rPr kumimoji="0" lang="en-US" sz="2000" b="0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Cambria Math" panose="02040503050406030204" pitchFamily="18" charset="0"/>
                    <a:ea typeface="+mn-ea"/>
                    <a:cs typeface="+mn-cs"/>
                  </a:rPr>
                  <a:t>𝑦 ̇_(1^((0) ) )</a:t>
                </a:r>
                <a:r>
                  <a:rPr lang="en-US" sz="2000"/>
                  <a:t>=</a:t>
                </a:r>
                <a:r>
                  <a:rPr lang="ru-RU" sz="2000" i="0">
                    <a:latin typeface="Cambria Math" panose="02040503050406030204" pitchFamily="18" charset="0"/>
                  </a:rPr>
                  <a:t>𝑣_0</a:t>
                </a:r>
                <a:r>
                  <a:rPr lang="en-US" sz="2000" i="0">
                    <a:latin typeface="Cambria Math" panose="02040503050406030204" pitchFamily="18" charset="0"/>
                  </a:rPr>
                  <a:t>  cos⁡</a:t>
                </a:r>
                <a:r>
                  <a:rPr lang="en-US" sz="200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𝛾</a:t>
                </a:r>
                <a:r>
                  <a:rPr lang="en-US" sz="2000"/>
                  <a:t>=</a:t>
                </a:r>
                <a:endParaRPr lang="ru-RU" sz="20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2" name="TextBox 11"/>
              <xdr:cNvSpPr txBox="1"/>
            </xdr:nvSpPr>
            <xdr:spPr>
              <a:xfrm>
                <a:off x="7715250" y="3314700"/>
                <a:ext cx="2428875" cy="390525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square" lIns="0" tIns="0" rIns="0" bIns="0" rtlCol="0" anchor="t">
                <a:noAutofit/>
              </a:bodyPr>
              <a:lstStyle/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14:m>
                  <m:oMath xmlns:m="http://schemas.openxmlformats.org/officeDocument/2006/math">
                    <m:sSub>
                      <m:sSubPr>
                        <m:ctrlPr>
                          <a:rPr kumimoji="0" lang="en-US" sz="2000" b="0" i="1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̇"/>
                            <m:ctrlPr>
                              <a:rPr kumimoji="0" lang="en-US" sz="2000" b="0" i="1" u="none" strike="noStrike" kern="0" cap="none" spc="0" normalizeH="0" baseline="0" noProof="0" smtClean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kumimoji="0" lang="en-US" sz="2000" b="0" i="1" u="none" strike="noStrike" kern="0" cap="none" spc="0" normalizeH="0" baseline="0" noProof="0" smtClean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sSup>
                          <m:sSupPr>
                            <m:ctrlPr>
                              <a:rPr kumimoji="0" lang="en-US" sz="2000" b="0" i="1" u="none" strike="noStrike" kern="0" cap="none" spc="0" normalizeH="0" baseline="0" noProof="0" smtClean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kumimoji="0" lang="en-US" sz="2000" b="0" i="1" u="none" strike="noStrike" kern="0" cap="none" spc="0" normalizeH="0" baseline="0" noProof="0" smtClean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e>
                          <m:sup>
                            <m:d>
                              <m:dPr>
                                <m:ctrlPr>
                                  <a:rPr kumimoji="0" lang="en-US" sz="2000" b="0" i="1" u="none" strike="noStrike" kern="0" cap="none" spc="0" normalizeH="0" baseline="0" noProof="0" smtClean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kumimoji="0" lang="en-US" sz="2000" b="0" i="1" u="none" strike="noStrike" kern="0" cap="none" spc="0" normalizeH="0" baseline="0" noProof="0" smtClean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e>
                            </m:d>
                          </m:sup>
                        </m:sSup>
                      </m:sub>
                    </m:sSub>
                    <m:r>
                      <a:rPr kumimoji="0" lang="en-US" sz="2000" b="0" i="1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kumimoji="0" lang="en-US" sz="20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̇"/>
                            <m:ctrlPr>
                              <a:rPr kumimoji="0" lang="en-US" sz="20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kumimoji="0" lang="en-US" sz="20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e>
                        </m:acc>
                      </m:e>
                      <m:sub>
                        <m:sSup>
                          <m:sSupPr>
                            <m:ctrlPr>
                              <a:rPr kumimoji="0" lang="en-US" sz="20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kumimoji="0" lang="en-US" sz="20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e>
                          <m:sup>
                            <m:d>
                              <m:dPr>
                                <m:ctrlPr>
                                  <a:rPr kumimoji="0" lang="en-US" sz="20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kumimoji="0" lang="en-US" sz="20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prstClr val="black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e>
                            </m:d>
                          </m:sup>
                        </m:sSup>
                      </m:sub>
                    </m:sSub>
                  </m:oMath>
                </a14:m>
                <a:r>
                  <a:rPr kumimoji="0" lang="en-US" sz="2000" b="0" i="0" u="none" strike="noStrike" kern="0" cap="none" spc="0" normalizeH="0" baseline="0" noProof="0" smtClean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=</a:t>
                </a:r>
                <a14:m>
                  <m:oMath xmlns:m="http://schemas.openxmlformats.org/officeDocument/2006/math">
                    <m:sSub>
                      <m:sSubPr>
                        <m:ctrlPr>
                          <a:rPr kumimoji="0" lang="ru-RU" sz="2000" b="0" i="1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0" lang="ru-RU" sz="2000" b="0" i="1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e>
                      <m:sub>
                        <m:r>
                          <a:rPr kumimoji="0" lang="ru-RU" sz="2000" b="0" i="0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func>
                      <m:funcPr>
                        <m:ctrlPr>
                          <a:rPr kumimoji="0" lang="en-US" sz="2000" b="0" i="1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kumimoji="0" lang="en-US" sz="2000" b="0" i="0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cos</m:t>
                        </m:r>
                      </m:fName>
                      <m:e>
                        <m:r>
                          <a:rPr kumimoji="0" lang="en-US" sz="2000" b="0" i="1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𝛾</m:t>
                        </m:r>
                      </m:e>
                    </m:func>
                  </m:oMath>
                </a14:m>
                <a:r>
                  <a:rPr kumimoji="0" lang="en-US" sz="2000" b="0" i="0" u="none" strike="noStrike" kern="0" cap="none" spc="0" normalizeH="0" baseline="0" noProof="0" smtClean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=</a:t>
                </a:r>
                <a:endParaRPr kumimoji="0" lang="ru-RU" sz="20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</mc:Choice>
        <mc:Fallback xmlns="">
          <xdr:sp macro="" textlink="">
            <xdr:nvSpPr>
              <xdr:cNvPr id="12" name="TextBox 11"/>
              <xdr:cNvSpPr txBox="1"/>
            </xdr:nvSpPr>
            <xdr:spPr>
              <a:xfrm>
                <a:off x="7715250" y="3314700"/>
                <a:ext cx="2428875" cy="390525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square" lIns="0" tIns="0" rIns="0" bIns="0" rtlCol="0" anchor="t">
                <a:noAutofit/>
              </a:bodyPr>
              <a:lstStyle/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sz="2000" b="0" i="0" u="none" strike="noStrike" kern="0" cap="none" spc="0" normalizeH="0" baseline="0" noProof="0" smtClean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mbria Math" panose="02040503050406030204" pitchFamily="18" charset="0"/>
                    <a:ea typeface="+mn-ea"/>
                    <a:cs typeface="+mn-cs"/>
                  </a:rPr>
                  <a:t>𝑦 ̇_(2^((0) ) )=</a:t>
                </a:r>
                <a:r>
                  <a:rPr kumimoji="0" lang="en-US" sz="2000" b="0" i="0" u="none" strike="noStrike" kern="0" cap="none" spc="0" normalizeH="0" baseline="0" noProof="0">
                    <a:ln>
                      <a:noFill/>
                    </a:ln>
                    <a:solidFill>
                      <a:prstClr val="black"/>
                    </a:solidFill>
                    <a:effectLst/>
                    <a:uLnTx/>
                    <a:uFillTx/>
                    <a:latin typeface="Cambria Math" panose="02040503050406030204" pitchFamily="18" charset="0"/>
                    <a:ea typeface="+mn-ea"/>
                    <a:cs typeface="+mn-cs"/>
                  </a:rPr>
                  <a:t>𝑦 ̇_(1^((0) ) )</a:t>
                </a:r>
                <a:r>
                  <a:rPr kumimoji="0" lang="en-US" sz="2000" b="0" i="0" u="none" strike="noStrike" kern="0" cap="none" spc="0" normalizeH="0" baseline="0" noProof="0" smtClean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=</a:t>
                </a:r>
                <a:r>
                  <a:rPr kumimoji="0" lang="ru-RU" sz="2000" b="0" i="0" u="none" strike="noStrike" kern="0" cap="none" spc="0" normalizeH="0" baseline="0" noProof="0" smtClean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mbria Math" panose="02040503050406030204" pitchFamily="18" charset="0"/>
                    <a:ea typeface="+mn-ea"/>
                    <a:cs typeface="+mn-cs"/>
                  </a:rPr>
                  <a:t>𝑣_0</a:t>
                </a:r>
                <a:r>
                  <a:rPr kumimoji="0" lang="en-US" sz="2000" b="0" i="0" u="none" strike="noStrike" kern="0" cap="none" spc="0" normalizeH="0" baseline="0" noProof="0" smtClean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mbria Math" panose="02040503050406030204" pitchFamily="18" charset="0"/>
                    <a:ea typeface="+mn-ea"/>
                    <a:cs typeface="+mn-cs"/>
                  </a:rPr>
                  <a:t>  cos⁡</a:t>
                </a:r>
                <a:r>
                  <a:rPr kumimoji="0" lang="en-US" sz="2000" b="0" i="0" u="none" strike="noStrike" kern="0" cap="none" spc="0" normalizeH="0" baseline="0" noProof="0" smtClean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mbria Math" panose="02040503050406030204" pitchFamily="18" charset="0"/>
                    <a:ea typeface="Cambria Math" panose="02040503050406030204" pitchFamily="18" charset="0"/>
                    <a:cs typeface="+mn-cs"/>
                  </a:rPr>
                  <a:t>𝛾</a:t>
                </a:r>
                <a:r>
                  <a:rPr kumimoji="0" lang="en-US" sz="2000" b="0" i="0" u="none" strike="noStrike" kern="0" cap="none" spc="0" normalizeH="0" baseline="0" noProof="0" smtClean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libri" panose="020F0502020204030204"/>
                    <a:ea typeface="+mn-ea"/>
                    <a:cs typeface="+mn-cs"/>
                  </a:rPr>
                  <a:t>=</a:t>
                </a:r>
                <a:endParaRPr kumimoji="0" lang="ru-RU" sz="20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20</xdr:row>
          <xdr:rowOff>133350</xdr:rowOff>
        </xdr:from>
        <xdr:to>
          <xdr:col>15</xdr:col>
          <xdr:colOff>323850</xdr:colOff>
          <xdr:row>24</xdr:row>
          <xdr:rowOff>57150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555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53811</xdr:colOff>
      <xdr:row>0</xdr:row>
      <xdr:rowOff>15874</xdr:rowOff>
    </xdr:from>
    <xdr:to>
      <xdr:col>15</xdr:col>
      <xdr:colOff>1</xdr:colOff>
      <xdr:row>11</xdr:row>
      <xdr:rowOff>132292</xdr:rowOff>
    </xdr:to>
    <xdr:grpSp>
      <xdr:nvGrpSpPr>
        <xdr:cNvPr id="4" name="Группа 3"/>
        <xdr:cNvGrpSpPr/>
      </xdr:nvGrpSpPr>
      <xdr:grpSpPr>
        <a:xfrm>
          <a:off x="53811" y="15874"/>
          <a:ext cx="9165387" cy="2211918"/>
          <a:chOff x="0" y="0"/>
          <a:chExt cx="9542214" cy="2168945"/>
        </a:xfrm>
      </xdr:grpSpPr>
      <xdr:pic>
        <xdr:nvPicPr>
          <xdr:cNvPr id="2" name="Рисунок 1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"/>
            <a:ext cx="4934639" cy="2168944"/>
          </a:xfrm>
          <a:prstGeom prst="rect">
            <a:avLst/>
          </a:prstGeom>
        </xdr:spPr>
      </xdr:pic>
      <xdr:pic>
        <xdr:nvPicPr>
          <xdr:cNvPr id="3" name="Рисунок 2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40376" y="0"/>
            <a:ext cx="4601838" cy="2162290"/>
          </a:xfrm>
          <a:prstGeom prst="rect">
            <a:avLst/>
          </a:prstGeom>
        </xdr:spPr>
      </xdr:pic>
    </xdr:grpSp>
    <xdr:clientData/>
  </xdr:twoCellAnchor>
  <xdr:oneCellAnchor>
    <xdr:from>
      <xdr:col>7</xdr:col>
      <xdr:colOff>257174</xdr:colOff>
      <xdr:row>8</xdr:row>
      <xdr:rowOff>114300</xdr:rowOff>
    </xdr:from>
    <xdr:ext cx="65" cy="172227"/>
    <xdr:sp macro="" textlink="">
      <xdr:nvSpPr>
        <xdr:cNvPr id="5" name="TextBox 4"/>
        <xdr:cNvSpPr txBox="1"/>
      </xdr:nvSpPr>
      <xdr:spPr>
        <a:xfrm>
          <a:off x="4564591" y="1638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0</xdr:col>
      <xdr:colOff>8467</xdr:colOff>
      <xdr:row>16</xdr:row>
      <xdr:rowOff>15876</xdr:rowOff>
    </xdr:from>
    <xdr:ext cx="1838325" cy="2698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8467" y="2973918"/>
              <a:ext cx="1838325" cy="2698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ru-RU" sz="1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ru-RU" sz="1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−начальная скорость</m:t>
                    </m:r>
                    <m:d>
                      <m:dPr>
                        <m:ctrlPr>
                          <a:rPr lang="ru-RU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ru-RU" sz="1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ru-RU" sz="1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км</m:t>
                            </m:r>
                          </m:num>
                          <m:den>
                            <m:r>
                              <a:rPr lang="ru-RU" sz="1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час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ru-RU" sz="1000" b="0">
                <a:ea typeface="Cambria Math" panose="02040503050406030204" pitchFamily="18" charset="0"/>
              </a:endParaRPr>
            </a:p>
            <a:p>
              <a:endParaRPr lang="ru-RU" sz="1100">
                <a:ea typeface="Cambria Math" panose="02040503050406030204" pitchFamily="18" charset="0"/>
              </a:endParaRPr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8467" y="2973918"/>
              <a:ext cx="1838325" cy="2698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ru-RU" sz="1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𝑣_0</a:t>
              </a:r>
              <a:r>
                <a:rPr lang="ru-RU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−начальная скорость(км/час)</a:t>
              </a:r>
              <a:endParaRPr lang="ru-RU" sz="1000" b="0">
                <a:ea typeface="Cambria Math" panose="02040503050406030204" pitchFamily="18" charset="0"/>
              </a:endParaRPr>
            </a:p>
            <a:p>
              <a:endParaRPr lang="ru-RU" sz="1100">
                <a:ea typeface="Cambria Math" panose="02040503050406030204" pitchFamily="18" charset="0"/>
              </a:endParaRPr>
            </a:p>
            <a:p>
              <a:endParaRPr lang="ru-RU" sz="1100"/>
            </a:p>
          </xdr:txBody>
        </xdr:sp>
      </mc:Fallback>
    </mc:AlternateContent>
    <xdr:clientData/>
  </xdr:oneCellAnchor>
  <xdr:oneCellAnchor>
    <xdr:from>
      <xdr:col>12</xdr:col>
      <xdr:colOff>109007</xdr:colOff>
      <xdr:row>12</xdr:row>
      <xdr:rowOff>62830</xdr:rowOff>
    </xdr:from>
    <xdr:ext cx="15208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7459132" y="2359413"/>
              <a:ext cx="15208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spAutoFit/>
            </a:bodyPr>
            <a:lstStyle/>
            <a:p>
              <a:pPr algn="ctr"/>
              <a14:m>
                <m:oMath xmlns:m="http://schemas.openxmlformats.org/officeDocument/2006/math">
                  <m:r>
                    <a:rPr lang="ru-RU" sz="11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𝛾</m:t>
                  </m:r>
                </m:oMath>
              </a14:m>
              <a:r>
                <a:rPr lang="ru-RU" sz="1100"/>
                <a:t> - модуль угла наезда </a:t>
              </a:r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7459132" y="2359413"/>
              <a:ext cx="15208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spAutoFit/>
            </a:bodyPr>
            <a:lstStyle/>
            <a:p>
              <a:pPr algn="ctr"/>
              <a:r>
                <a:rPr lang="ru-RU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r>
                <a:rPr lang="ru-RU" sz="1100"/>
                <a:t> - модуль угла наезда </a:t>
              </a:r>
            </a:p>
          </xdr:txBody>
        </xdr:sp>
      </mc:Fallback>
    </mc:AlternateContent>
    <xdr:clientData/>
  </xdr:oneCellAnchor>
  <xdr:oneCellAnchor>
    <xdr:from>
      <xdr:col>3</xdr:col>
      <xdr:colOff>304800</xdr:colOff>
      <xdr:row>16</xdr:row>
      <xdr:rowOff>3175</xdr:rowOff>
    </xdr:from>
    <xdr:ext cx="1092992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2178050" y="2961217"/>
              <a:ext cx="109299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</a:rPr>
                      <m:t>𝛼</m:t>
                    </m:r>
                    <m:r>
                      <a:rPr lang="ru-RU" sz="1100" i="1"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ru-RU" sz="1100" i="1">
                            <a:latin typeface="Cambria Math" panose="02040503050406030204" pitchFamily="18" charset="0"/>
                          </a:rPr>
                          <m:t>arctg</m:t>
                        </m:r>
                      </m:fName>
                      <m:e>
                        <m:d>
                          <m:dPr>
                            <m:ctrlPr>
                              <a:rPr lang="ru-RU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ru-RU" sz="11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f>
                                  <m:fPr>
                                    <m:type m:val="lin"/>
                                    <m:ctrlPr>
                                      <a:rPr lang="ru-RU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ru-RU" sz="1100" i="1">
                                        <a:latin typeface="Cambria Math" panose="02040503050406030204" pitchFamily="18" charset="0"/>
                                      </a:rPr>
                                      <m:t>h</m:t>
                                    </m:r>
                                  </m:num>
                                  <m:den>
                                    <m:r>
                                      <a:rPr lang="ru-RU" sz="110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den>
                                </m:f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𝑙</m:t>
                                </m:r>
                                <m:r>
                                  <a:rPr lang="ru-RU" sz="1100" i="1">
                                    <a:latin typeface="Cambria Math" panose="02040503050406030204" pitchFamily="18" charset="0"/>
                                  </a:rPr>
                                  <m:t>+</m:t>
                                </m:r>
                                <m:r>
                                  <a:rPr lang="ru-RU" sz="1100" i="1">
                                    <a:latin typeface="Cambria Math" panose="02040503050406030204" pitchFamily="18" charset="0"/>
                                  </a:rPr>
                                  <m:t>𝑏</m:t>
                                </m:r>
                              </m:den>
                            </m:f>
                          </m:e>
                        </m:d>
                      </m:e>
                    </m:fun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2178050" y="2961217"/>
              <a:ext cx="109299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𝛼=arctg⁡((ℎ∕2)/(</a:t>
              </a:r>
              <a:r>
                <a:rPr lang="en-US" sz="1100" b="0" i="0">
                  <a:latin typeface="Cambria Math" panose="02040503050406030204" pitchFamily="18" charset="0"/>
                </a:rPr>
                <a:t>𝑙</a:t>
              </a:r>
              <a:r>
                <a:rPr lang="ru-RU" sz="1100" i="0">
                  <a:latin typeface="Cambria Math" panose="02040503050406030204" pitchFamily="18" charset="0"/>
                </a:rPr>
                <a:t>+𝑏))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6</xdr:col>
      <xdr:colOff>437091</xdr:colOff>
      <xdr:row>15</xdr:row>
      <xdr:rowOff>66675</xdr:rowOff>
    </xdr:from>
    <xdr:ext cx="1034449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4135966" y="2955925"/>
              <a:ext cx="1034449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i="1">
                        <a:latin typeface="Cambria Math" panose="02040503050406030204" pitchFamily="18" charset="0"/>
                      </a:rPr>
                      <m:t>𝛽</m:t>
                    </m:r>
                    <m:r>
                      <a:rPr lang="ru-RU" sz="1100" i="1"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ru-RU" sz="1100" i="1">
                            <a:latin typeface="Cambria Math" panose="02040503050406030204" pitchFamily="18" charset="0"/>
                          </a:rPr>
                          <m:t>arctg</m:t>
                        </m:r>
                      </m:fName>
                      <m:e>
                        <m:d>
                          <m:dPr>
                            <m:ctrlPr>
                              <a:rPr lang="ru-RU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ru-RU" sz="11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f>
                                  <m:fPr>
                                    <m:type m:val="lin"/>
                                    <m:ctrlPr>
                                      <a:rPr lang="ru-RU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ru-RU" sz="1100" i="1">
                                        <a:latin typeface="Cambria Math" panose="02040503050406030204" pitchFamily="18" charset="0"/>
                                      </a:rPr>
                                      <m:t>h</m:t>
                                    </m:r>
                                  </m:num>
                                  <m:den>
                                    <m:r>
                                      <a:rPr lang="ru-RU" sz="110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den>
                                </m:f>
                              </m:num>
                              <m:den>
                                <m:r>
                                  <a:rPr lang="ru-RU" sz="110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den>
                            </m:f>
                          </m:e>
                        </m:d>
                      </m:e>
                    </m:fun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4135966" y="2955925"/>
              <a:ext cx="1034449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𝛽=arctg⁡((ℎ∕2)/𝑎)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606592</xdr:colOff>
      <xdr:row>16</xdr:row>
      <xdr:rowOff>165543</xdr:rowOff>
    </xdr:from>
    <xdr:ext cx="1183106" cy="125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6156158" y="3118293"/>
              <a:ext cx="1183106" cy="125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8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acc>
                          <m:accPr>
                            <m:chr m:val="̇"/>
                            <m:ctrlPr>
                              <a:rPr lang="ru-RU" sz="800" b="1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ru-RU" sz="800" b="1" i="1">
                                <a:latin typeface="Cambria Math" panose="02040503050406030204" pitchFamily="18" charset="0"/>
                              </a:rPr>
                              <m:t>𝒙</m:t>
                            </m:r>
                          </m:e>
                        </m:acc>
                      </m:e>
                      <m:sub>
                        <m:r>
                          <a:rPr lang="ru-RU" sz="800" b="1" i="0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lang="ru-RU" sz="8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ru-RU" sz="800" b="1" i="0">
                            <a:latin typeface="Cambria Math" panose="02040503050406030204" pitchFamily="18" charset="0"/>
                          </a:rPr>
                          <m:t>𝟎</m:t>
                        </m:r>
                      </m:e>
                    </m:d>
                    <m:r>
                      <a:rPr lang="ru-RU" sz="800" b="1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ru-RU" sz="8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̇"/>
                            <m:ctrlPr>
                              <a:rPr lang="ru-RU" sz="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ru-RU" sz="8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𝒙</m:t>
                            </m:r>
                          </m:e>
                        </m:acc>
                      </m:e>
                      <m:sub>
                        <m:r>
                          <a:rPr lang="en-US" sz="8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lang="ru-RU" sz="8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ru-RU" sz="8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e>
                    </m:d>
                    <m:r>
                      <a:rPr lang="en-US" sz="8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kumimoji="0" lang="ru-RU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ru-RU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𝒗</m:t>
                        </m:r>
                      </m:e>
                      <m:sub>
                        <m:r>
                          <a:rPr kumimoji="0" lang="ru-RU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kumimoji="0" lang="en-US" sz="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𝒄𝒐𝒔</m:t>
                    </m:r>
                    <m:r>
                      <a:rPr kumimoji="0" lang="ru-RU" sz="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𝜸</m:t>
                    </m:r>
                  </m:oMath>
                </m:oMathPara>
              </a14:m>
              <a:endParaRPr lang="ru-RU" sz="800" b="1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6156158" y="3118293"/>
              <a:ext cx="1183106" cy="125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ru-RU" sz="800" b="1" i="0">
                  <a:latin typeface="Cambria Math" panose="02040503050406030204" pitchFamily="18" charset="0"/>
                </a:rPr>
                <a:t>𝒙 ̇_𝟏 (𝟎)=</a:t>
              </a:r>
              <a:r>
                <a:rPr lang="ru-RU" sz="8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 ̇_</a:t>
              </a:r>
              <a:r>
                <a:rPr lang="en-US" sz="8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𝟐</a:t>
              </a:r>
              <a:r>
                <a:rPr lang="ru-RU" sz="8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(𝟎)</a:t>
              </a:r>
              <a:r>
                <a:rPr lang="en-US" sz="8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kumimoji="0" lang="ru-RU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𝒗_𝟎</a:t>
              </a: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𝒄𝒐𝒔</a:t>
              </a:r>
              <a:r>
                <a:rPr kumimoji="0" lang="ru-RU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𝜸</a:t>
              </a:r>
              <a:endParaRPr lang="ru-RU" sz="800" b="1"/>
            </a:p>
          </xdr:txBody>
        </xdr:sp>
      </mc:Fallback>
    </mc:AlternateContent>
    <xdr:clientData/>
  </xdr:oneCellAnchor>
  <xdr:oneCellAnchor>
    <xdr:from>
      <xdr:col>13</xdr:col>
      <xdr:colOff>557</xdr:colOff>
      <xdr:row>16</xdr:row>
      <xdr:rowOff>167662</xdr:rowOff>
    </xdr:from>
    <xdr:ext cx="1209114" cy="125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/>
            <xdr:cNvSpPr txBox="1"/>
          </xdr:nvSpPr>
          <xdr:spPr>
            <a:xfrm>
              <a:off x="7996544" y="3120412"/>
              <a:ext cx="1209114" cy="12522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ru-RU" sz="800" b="1" i="1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̇"/>
                            <m:ctrlPr>
                              <a:rPr kumimoji="0" lang="ru-RU" sz="800" b="1" i="1" u="none" strike="noStrike" kern="0" cap="none" spc="0" normalizeH="0" baseline="0" noProof="0" smtClean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kumimoji="0" lang="en-US" sz="800" b="1" i="1" u="none" strike="noStrike" kern="0" cap="none" spc="0" normalizeH="0" baseline="0" noProof="0" smtClean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𝒚</m:t>
                            </m:r>
                          </m:e>
                        </m:acc>
                      </m:e>
                      <m:sub>
                        <m:r>
                          <a:rPr kumimoji="0" lang="ru-RU" sz="800" b="1" i="0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kumimoji="0" lang="ru-RU" sz="800" b="1" i="1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kumimoji="0" lang="ru-RU" sz="800" b="1" i="0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e>
                    </m:d>
                    <m:r>
                      <a:rPr kumimoji="0" lang="ru-RU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kumimoji="0" lang="ru-RU" sz="800" b="1" i="1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̇"/>
                            <m:ctrlPr>
                              <a:rPr kumimoji="0" lang="ru-RU" sz="800" b="1" i="1" u="none" strike="noStrike" kern="0" cap="none" spc="0" normalizeH="0" baseline="0" noProof="0" smtClean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kumimoji="0" lang="en-US" sz="800" b="1" i="1" u="none" strike="noStrike" kern="0" cap="none" spc="0" normalizeH="0" baseline="0" noProof="0" smtClean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𝒚</m:t>
                            </m:r>
                          </m:e>
                        </m:acc>
                      </m:e>
                      <m:sub>
                        <m:r>
                          <a:rPr kumimoji="0" lang="en-US" sz="800" b="1" i="0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kumimoji="0" lang="ru-RU" sz="800" b="1" i="1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kumimoji="0" lang="ru-RU" sz="800" b="1" i="0" u="none" strike="noStrike" kern="0" cap="none" spc="0" normalizeH="0" baseline="0" noProof="0" smtClean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e>
                    </m:d>
                    <m:r>
                      <a:rPr kumimoji="0" lang="en-US" sz="800" b="1" i="1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kumimoji="0" lang="ru-RU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r>
                          <a:rPr kumimoji="0" lang="ru-RU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𝒗</m:t>
                        </m:r>
                      </m:e>
                      <m:sub>
                        <m:r>
                          <a:rPr kumimoji="0" lang="ru-RU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kumimoji="0" lang="en-US" sz="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𝒔𝒊𝒏</m:t>
                    </m:r>
                    <m:r>
                      <a:rPr kumimoji="0" lang="ru-RU" sz="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𝜸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7996544" y="3120412"/>
              <a:ext cx="1209114" cy="12522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 ̇_𝟏 (𝟎)=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 ̇_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𝟐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(𝟎)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kumimoji="0" lang="ru-RU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〖</a:t>
              </a: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−</a:t>
              </a:r>
              <a:r>
                <a:rPr kumimoji="0" lang="ru-RU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𝒗〗_𝟎</a:t>
              </a: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𝒔𝒊𝒏</a:t>
              </a:r>
              <a:r>
                <a:rPr kumimoji="0" lang="ru-RU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𝜸</a:t>
              </a:r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5</xdr:col>
      <xdr:colOff>71965</xdr:colOff>
      <xdr:row>20</xdr:row>
      <xdr:rowOff>8465</xdr:rowOff>
    </xdr:from>
    <xdr:ext cx="5418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/>
            <xdr:cNvSpPr txBox="1"/>
          </xdr:nvSpPr>
          <xdr:spPr>
            <a:xfrm>
              <a:off x="3162298" y="3617382"/>
              <a:ext cx="5418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d>
                      <m:d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0</m:t>
                        </m:r>
                      </m:e>
                    </m:d>
                    <m:r>
                      <a:rPr lang="ru-RU" sz="1100" b="0" i="0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3162298" y="3617382"/>
              <a:ext cx="5418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𝑥_1 (0)</a:t>
              </a:r>
              <a:r>
                <a:rPr lang="ru-RU" sz="1100" b="0" i="0">
                  <a:latin typeface="Cambria Math" panose="02040503050406030204" pitchFamily="18" charset="0"/>
                </a:rPr>
                <a:t>=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347133</xdr:colOff>
      <xdr:row>20</xdr:row>
      <xdr:rowOff>19049</xdr:rowOff>
    </xdr:from>
    <xdr:ext cx="854076" cy="1979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/>
            <xdr:cNvSpPr txBox="1"/>
          </xdr:nvSpPr>
          <xdr:spPr>
            <a:xfrm>
              <a:off x="6480175" y="3627966"/>
              <a:ext cx="854076" cy="1979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ru-RU" sz="1100" i="1">
                          <a:latin typeface="Cambria Math" panose="02040503050406030204" pitchFamily="18" charset="0"/>
                        </a:rPr>
                        <m:t>𝑥</m:t>
                      </m:r>
                    </m:e>
                    <m:sub>
                      <m:r>
                        <a:rPr lang="ru-RU" sz="1100" i="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  <m:d>
                    <m:d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ru-RU" sz="1100" i="0">
                          <a:latin typeface="Cambria Math" panose="02040503050406030204" pitchFamily="18" charset="0"/>
                        </a:rPr>
                        <m:t>0</m:t>
                      </m:r>
                    </m:e>
                  </m:d>
                </m:oMath>
              </a14:m>
              <a:r>
                <a:rPr lang="ru-RU" sz="1100"/>
                <a:t>=</a:t>
              </a:r>
              <a14:m>
                <m:oMath xmlns:m="http://schemas.openxmlformats.org/officeDocument/2006/math">
                  <m:r>
                    <a:rPr kumimoji="0" lang="en-US" sz="11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𝑙</m:t>
                  </m:r>
                  <m:r>
                    <a:rPr kumimoji="0" lang="en-US" sz="10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𝑐𝑜𝑠</m:t>
                  </m:r>
                  <m:r>
                    <a:rPr kumimoji="0" lang="ru-RU" sz="11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𝛾</m:t>
                  </m:r>
                  <m:r>
                    <a:rPr kumimoji="0" lang="en-US" sz="11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=</m:t>
                  </m:r>
                </m:oMath>
              </a14:m>
              <a:endParaRPr kumimoji="0" lang="ru-RU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6480175" y="3627966"/>
              <a:ext cx="854076" cy="1979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-RU" sz="1100" i="0">
                  <a:latin typeface="Cambria Math" panose="02040503050406030204" pitchFamily="18" charset="0"/>
                </a:rPr>
                <a:t>𝑥_2 (0)</a:t>
              </a:r>
              <a:r>
                <a:rPr lang="ru-RU" sz="1100"/>
                <a:t>=</a:t>
              </a: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𝑙</a:t>
              </a:r>
              <a:r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𝑐𝑜𝑠</a:t>
              </a:r>
              <a:r>
                <a:rPr kumimoji="0" lang="ru-RU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endParaRPr kumimoji="0" lang="ru-RU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endParaRPr lang="ru-RU" sz="1100"/>
            </a:p>
          </xdr:txBody>
        </xdr:sp>
      </mc:Fallback>
    </mc:AlternateContent>
    <xdr:clientData/>
  </xdr:oneCellAnchor>
  <xdr:oneCellAnchor>
    <xdr:from>
      <xdr:col>3</xdr:col>
      <xdr:colOff>40216</xdr:colOff>
      <xdr:row>20</xdr:row>
      <xdr:rowOff>183090</xdr:rowOff>
    </xdr:from>
    <xdr:ext cx="1774826" cy="2137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/>
            <xdr:cNvSpPr txBox="1"/>
          </xdr:nvSpPr>
          <xdr:spPr>
            <a:xfrm>
              <a:off x="1913466" y="3792007"/>
              <a:ext cx="1774826" cy="2137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ru-RU" sz="1100" i="1">
                          <a:latin typeface="Cambria Math" panose="02040503050406030204" pitchFamily="18" charset="0"/>
                        </a:rPr>
                        <m:t>𝑦</m:t>
                      </m:r>
                    </m:e>
                    <m:sub>
                      <m:r>
                        <a:rPr lang="ru-RU" sz="1100" i="0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d>
                    <m:d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ru-RU" sz="1100" i="0">
                          <a:latin typeface="Cambria Math" panose="02040503050406030204" pitchFamily="18" charset="0"/>
                        </a:rPr>
                        <m:t>0</m:t>
                      </m:r>
                    </m:e>
                  </m:d>
                </m:oMath>
              </a14:m>
              <a:r>
                <a:rPr lang="en-US" sz="1100"/>
                <a:t>=(</a:t>
              </a:r>
              <a14:m>
                <m:oMath xmlns:m="http://schemas.openxmlformats.org/officeDocument/2006/math">
                  <m:r>
                    <a:rPr kumimoji="0" lang="en-US" sz="11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𝑙</m:t>
                  </m:r>
                  <m:r>
                    <a:rPr kumimoji="0" lang="ru-RU" sz="11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a:rPr kumimoji="0" lang="ru-RU" sz="11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𝑏</m:t>
                  </m:r>
                </m:oMath>
              </a14:m>
              <a:r>
                <a:rPr lang="en-US" sz="1100"/>
                <a:t>)</a:t>
              </a:r>
              <a14:m>
                <m:oMath xmlns:m="http://schemas.openxmlformats.org/officeDocument/2006/math">
                  <m:r>
                    <a:rPr kumimoji="0" lang="en-US" sz="10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𝑠𝑖𝑛</m:t>
                  </m:r>
                  <m:r>
                    <a:rPr kumimoji="0" lang="ru-RU" sz="11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𝛾</m:t>
                  </m:r>
                </m:oMath>
              </a14:m>
              <a:r>
                <a:rPr kumimoji="0" lang="en-US" sz="11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+(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kumimoji="0" lang="ru-RU" sz="11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kumimoji="0" lang="ru-RU" sz="11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</m:t>
                      </m:r>
                    </m:num>
                    <m:den>
                      <m:r>
                        <a:rPr kumimoji="0" lang="ru-RU" sz="11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kumimoji="0" lang="en-US" sz="11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)</a:t>
              </a:r>
              <a14:m>
                <m:oMath xmlns:m="http://schemas.openxmlformats.org/officeDocument/2006/math">
                  <m:r>
                    <a:rPr kumimoji="0" lang="en-US" sz="10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𝑐𝑜𝑠</m:t>
                  </m:r>
                  <m:r>
                    <a:rPr kumimoji="0" lang="ru-RU" sz="11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𝛾</m:t>
                  </m:r>
                </m:oMath>
              </a14:m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=</a:t>
              </a:r>
              <a:endParaRPr kumimoji="0" lang="ru-RU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1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1913466" y="3792007"/>
              <a:ext cx="1774826" cy="2137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-RU" sz="1100" i="0">
                  <a:latin typeface="Cambria Math" panose="02040503050406030204" pitchFamily="18" charset="0"/>
                </a:rPr>
                <a:t>𝑦_1 (0)</a:t>
              </a:r>
              <a:r>
                <a:rPr lang="en-US" sz="1100"/>
                <a:t>=(</a:t>
              </a: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𝑙</a:t>
              </a:r>
              <a:r>
                <a:rPr kumimoji="0" lang="ru-RU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+𝑏</a:t>
              </a:r>
              <a:r>
                <a:rPr lang="en-US" sz="1100"/>
                <a:t>)</a:t>
              </a:r>
              <a:r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𝑠𝑖𝑛</a:t>
              </a:r>
              <a:r>
                <a:rPr kumimoji="0" lang="ru-RU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kumimoji="0" lang="en-US" sz="11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+(</a:t>
              </a:r>
              <a:r>
                <a:rPr kumimoji="0" lang="ru-RU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ℎ∕2</a:t>
              </a:r>
              <a:r>
                <a:rPr kumimoji="0" lang="en-US" sz="11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)</a:t>
              </a:r>
              <a:r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𝑐𝑜𝑠</a:t>
              </a:r>
              <a:r>
                <a:rPr kumimoji="0" lang="ru-RU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=</a:t>
              </a:r>
              <a:endParaRPr kumimoji="0" lang="ru-RU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1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373591</xdr:colOff>
      <xdr:row>21</xdr:row>
      <xdr:rowOff>3173</xdr:rowOff>
    </xdr:from>
    <xdr:ext cx="144145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5898091" y="3813173"/>
              <a:ext cx="144145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ru-RU" sz="1100" i="1">
                          <a:latin typeface="Cambria Math" panose="02040503050406030204" pitchFamily="18" charset="0"/>
                        </a:rPr>
                        <m:t>𝑦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US" sz="1100"/>
                <a:t>(0)=</a:t>
              </a:r>
              <a14:m>
                <m:oMath xmlns:m="http://schemas.openxmlformats.org/officeDocument/2006/math">
                  <m:r>
                    <a:rPr kumimoji="0" lang="ru-RU" sz="11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𝑏</m:t>
                  </m:r>
                  <m:r>
                    <a:rPr kumimoji="0" lang="en-US" sz="10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𝑠𝑖𝑛</m:t>
                  </m:r>
                  <m:r>
                    <a:rPr kumimoji="0" lang="ru-RU" sz="11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𝛾</m:t>
                  </m:r>
                </m:oMath>
              </a14:m>
              <a:r>
                <a:rPr kumimoji="0" lang="en-US" sz="11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+(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kumimoji="0" lang="ru-RU" sz="11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kumimoji="0" lang="ru-RU" sz="11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</m:t>
                      </m:r>
                    </m:num>
                    <m:den>
                      <m:r>
                        <a:rPr kumimoji="0" lang="ru-RU" sz="11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</m:oMath>
              </a14:m>
              <a:r>
                <a:rPr kumimoji="0" lang="en-US" sz="11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)</a:t>
              </a:r>
              <a14:m>
                <m:oMath xmlns:m="http://schemas.openxmlformats.org/officeDocument/2006/math">
                  <m:r>
                    <a:rPr kumimoji="0" lang="en-US" sz="10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𝑐𝑜𝑠</m:t>
                  </m:r>
                  <m:r>
                    <a:rPr kumimoji="0" lang="ru-RU" sz="11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𝛾</m:t>
                  </m:r>
                </m:oMath>
              </a14:m>
              <a:r>
                <a:rPr kumimoji="0" lang="en-US" sz="11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=</a:t>
              </a:r>
              <a:endParaRPr kumimoji="0" lang="ru-RU" sz="11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5898091" y="3813173"/>
              <a:ext cx="144145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ru-RU" sz="1100" i="0">
                  <a:latin typeface="Cambria Math" panose="02040503050406030204" pitchFamily="18" charset="0"/>
                </a:rPr>
                <a:t>𝑦_</a:t>
              </a:r>
              <a:r>
                <a:rPr lang="en-US" sz="1100" b="0" i="0">
                  <a:latin typeface="Cambria Math" panose="02040503050406030204" pitchFamily="18" charset="0"/>
                </a:rPr>
                <a:t>2</a:t>
              </a:r>
              <a:r>
                <a:rPr lang="en-US" sz="1100"/>
                <a:t>(0)=</a:t>
              </a:r>
              <a:r>
                <a:rPr kumimoji="0" lang="ru-RU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𝑠𝑖𝑛</a:t>
              </a:r>
              <a:r>
                <a:rPr kumimoji="0" lang="ru-RU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kumimoji="0" lang="en-US" sz="11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+(</a:t>
              </a:r>
              <a:r>
                <a:rPr kumimoji="0" lang="ru-RU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ℎ∕2</a:t>
              </a:r>
              <a:r>
                <a:rPr kumimoji="0" lang="en-US" sz="11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)</a:t>
              </a:r>
              <a:r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𝑐𝑜𝑠</a:t>
              </a:r>
              <a:r>
                <a:rPr kumimoji="0" lang="ru-RU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kumimoji="0" lang="en-US" sz="11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=</a:t>
              </a:r>
              <a:endParaRPr kumimoji="0" lang="ru-RU" sz="11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145232</xdr:colOff>
      <xdr:row>2</xdr:row>
      <xdr:rowOff>19050</xdr:rowOff>
    </xdr:from>
    <xdr:ext cx="31963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2092670" y="207664"/>
              <a:ext cx="3196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ru-RU" sz="1100" i="1">
                        <a:latin typeface="Cambria Math" panose="02040503050406030204" pitchFamily="18" charset="0"/>
                      </a:rPr>
                      <m:t>Δ</m:t>
                    </m:r>
                    <m:r>
                      <a:rPr lang="ru-RU" sz="110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ru-RU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092670" y="207664"/>
              <a:ext cx="31963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ru-RU" sz="1100" i="0">
                  <a:latin typeface="Cambria Math" panose="02040503050406030204" pitchFamily="18" charset="0"/>
                </a:rPr>
                <a:t>Δ𝑡</a:t>
              </a:r>
              <a:r>
                <a:rPr lang="ru-RU" sz="1100" b="0" i="0">
                  <a:latin typeface="Cambria Math" panose="02040503050406030204" pitchFamily="18" charset="0"/>
                </a:rPr>
                <a:t>=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</xdr:col>
      <xdr:colOff>94308</xdr:colOff>
      <xdr:row>4</xdr:row>
      <xdr:rowOff>4904</xdr:rowOff>
    </xdr:from>
    <xdr:ext cx="2924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702588" y="589607"/>
              <a:ext cx="2924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acc>
                        <m:accPr>
                          <m:chr m:val="̈"/>
                          <m:ctrlPr>
                            <a:rPr lang="ru-RU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acc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</m:oMath>
              </a14:m>
              <a:r>
                <a:rPr lang="en-US" sz="1100"/>
                <a:t>(t)</a:t>
              </a:r>
              <a:endParaRPr lang="ru-RU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702588" y="589607"/>
              <a:ext cx="2924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𝑥</a:t>
              </a:r>
              <a:r>
                <a:rPr lang="ru-RU" sz="1100" b="0" i="0">
                  <a:latin typeface="Cambria Math" panose="02040503050406030204" pitchFamily="18" charset="0"/>
                </a:rPr>
                <a:t> ̈_</a:t>
              </a:r>
              <a:r>
                <a:rPr lang="en-US" sz="1100" b="0" i="0">
                  <a:latin typeface="Cambria Math" panose="02040503050406030204" pitchFamily="18" charset="0"/>
                </a:rPr>
                <a:t>1</a:t>
              </a:r>
              <a:r>
                <a:rPr lang="en-US" sz="1100"/>
                <a:t>(t)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4</xdr:col>
      <xdr:colOff>118072</xdr:colOff>
      <xdr:row>4</xdr:row>
      <xdr:rowOff>4904</xdr:rowOff>
    </xdr:from>
    <xdr:ext cx="2695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2065510" y="589607"/>
              <a:ext cx="2695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acc>
                        <m:accPr>
                          <m:chr m:val="̈"/>
                          <m:ctrlPr>
                            <a:rPr lang="ru-RU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𝑦</m:t>
                          </m:r>
                        </m:e>
                      </m:acc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</m:oMath>
              </a14:m>
              <a:r>
                <a:rPr lang="en-US" sz="1100"/>
                <a:t>(t)</a:t>
              </a:r>
              <a:endParaRPr lang="ru-RU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2065510" y="589607"/>
              <a:ext cx="2695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𝑦</a:t>
              </a:r>
              <a:r>
                <a:rPr lang="ru-RU" sz="1100" b="0" i="0">
                  <a:latin typeface="Cambria Math" panose="02040503050406030204" pitchFamily="18" charset="0"/>
                </a:rPr>
                <a:t> ̈_</a:t>
              </a:r>
              <a:r>
                <a:rPr lang="en-US" sz="1100" b="0" i="0">
                  <a:latin typeface="Cambria Math" panose="02040503050406030204" pitchFamily="18" charset="0"/>
                </a:rPr>
                <a:t>1</a:t>
              </a:r>
              <a:r>
                <a:rPr lang="en-US" sz="1100"/>
                <a:t>(t)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7</xdr:col>
      <xdr:colOff>118072</xdr:colOff>
      <xdr:row>4</xdr:row>
      <xdr:rowOff>4904</xdr:rowOff>
    </xdr:from>
    <xdr:ext cx="27193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/>
            <xdr:cNvSpPr txBox="1"/>
          </xdr:nvSpPr>
          <xdr:spPr>
            <a:xfrm>
              <a:off x="3385807" y="589607"/>
              <a:ext cx="2719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acc>
                        <m:accPr>
                          <m:chr m:val="̈"/>
                          <m:ctrlPr>
                            <a:rPr lang="ru-RU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𝑥</m:t>
                          </m:r>
                        </m:e>
                      </m:acc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US" sz="1100"/>
                <a:t>(t)</a:t>
              </a:r>
              <a:endParaRPr lang="ru-RU" sz="1100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3385807" y="589607"/>
              <a:ext cx="27193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𝑥</a:t>
              </a:r>
              <a:r>
                <a:rPr lang="ru-RU" sz="1100" b="0" i="0">
                  <a:latin typeface="Cambria Math" panose="02040503050406030204" pitchFamily="18" charset="0"/>
                </a:rPr>
                <a:t> ̈_</a:t>
              </a:r>
              <a:r>
                <a:rPr lang="en-US" sz="1100" b="0" i="0">
                  <a:latin typeface="Cambria Math" panose="02040503050406030204" pitchFamily="18" charset="0"/>
                </a:rPr>
                <a:t>2</a:t>
              </a:r>
              <a:r>
                <a:rPr lang="en-US" sz="1100"/>
                <a:t>(t)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118072</xdr:colOff>
      <xdr:row>4</xdr:row>
      <xdr:rowOff>4904</xdr:rowOff>
    </xdr:from>
    <xdr:ext cx="26930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/>
            <xdr:cNvSpPr txBox="1"/>
          </xdr:nvSpPr>
          <xdr:spPr>
            <a:xfrm>
              <a:off x="4715535" y="589607"/>
              <a:ext cx="26930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acc>
                        <m:accPr>
                          <m:chr m:val="̈"/>
                          <m:ctrlPr>
                            <a:rPr lang="ru-RU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ru-RU" sz="1100" b="0" i="1">
                              <a:latin typeface="Cambria Math" panose="02040503050406030204" pitchFamily="18" charset="0"/>
                            </a:rPr>
                            <m:t>у</m:t>
                          </m:r>
                        </m:e>
                      </m:acc>
                    </m:e>
                    <m:sub>
                      <m:r>
                        <a:rPr lang="ru-RU" sz="1100" b="0" i="1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US" sz="1100"/>
                <a:t>(t)</a:t>
              </a:r>
              <a:endParaRPr lang="ru-RU" sz="11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4715535" y="589607"/>
              <a:ext cx="26930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b="0" i="0">
                  <a:latin typeface="Cambria Math" panose="02040503050406030204" pitchFamily="18" charset="0"/>
                </a:rPr>
                <a:t>у ̈_2</a:t>
              </a:r>
              <a:r>
                <a:rPr lang="en-US" sz="1100"/>
                <a:t>(t)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14</xdr:col>
      <xdr:colOff>90679</xdr:colOff>
      <xdr:row>0</xdr:row>
      <xdr:rowOff>68481</xdr:rowOff>
    </xdr:from>
    <xdr:ext cx="1648437" cy="193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45805" y="68481"/>
              <a:ext cx="1648437" cy="193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Δ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kumimoji="0" lang="ru-RU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kumimoji="0" lang="ru-RU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𝒙</m:t>
                          </m:r>
                        </m:e>
                      </m:acc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  <m:r>
                    <a:rPr kumimoji="0" lang="ru-RU" sz="900" b="1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nary>
                    <m:naryPr>
                      <m:limLoc m:val="undOvr"/>
                      <m:grow m:val="on"/>
                      <m:ctrlPr>
                        <a:rPr lang="ru-RU" sz="900" b="1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a:rPr lang="ru-RU" sz="900" b="1" i="0">
                          <a:latin typeface="Cambria Math" panose="02040503050406030204" pitchFamily="18" charset="0"/>
                        </a:rPr>
                        <m:t>𝟎</m:t>
                      </m:r>
                    </m:sub>
                    <m:sup>
                      <m:r>
                        <a:rPr lang="ru-RU" sz="900" b="1" i="1">
                          <a:latin typeface="Cambria Math" panose="02040503050406030204" pitchFamily="18" charset="0"/>
                        </a:rPr>
                        <m:t>𝒕</m:t>
                      </m:r>
                    </m:sup>
                    <m:e>
                      <m:sSub>
                        <m:sSubPr>
                          <m:ctrlPr>
                            <a:rPr lang="ru-RU" sz="9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acc>
                            <m:accPr>
                              <m:chr m:val="̈"/>
                              <m:ctrlPr>
                                <a:rPr lang="ru-RU" sz="9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accPr>
                            <m:e>
                              <m:r>
                                <a:rPr lang="en-US" sz="9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𝒙</m:t>
                              </m:r>
                            </m:e>
                          </m:acc>
                        </m:e>
                        <m:sub>
                          <m:r>
                            <a:rPr lang="en-US" sz="9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</m:sub>
                      </m:sSub>
                      <m:r>
                        <m:rPr>
                          <m:nor/>
                        </m:rPr>
                        <a:rPr lang="en-US" sz="900" b="1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</m:t>
                      </m:r>
                      <m:r>
                        <a:rPr lang="el-GR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𝝃</m:t>
                      </m:r>
                      <m:r>
                        <m:rPr>
                          <m:nor/>
                        </m:rPr>
                        <a:rPr lang="en-US" sz="900" b="1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)</m:t>
                      </m:r>
                      <m:r>
                        <m:rPr>
                          <m:nor/>
                        </m:rPr>
                        <a:rPr lang="ru-RU" sz="900" b="1">
                          <a:effectLst/>
                        </a:rPr>
                        <m:t> </m:t>
                      </m:r>
                    </m:e>
                  </m:nary>
                </m:oMath>
              </a14:m>
              <a:r>
                <a:rPr lang="en-US" sz="900" b="1"/>
                <a:t>d</a:t>
              </a:r>
              <a14:m>
                <m:oMath xmlns:m="http://schemas.openxmlformats.org/officeDocument/2006/math">
                  <m:r>
                    <a:rPr lang="el-GR" sz="9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𝝃</m:t>
                  </m:r>
                </m:oMath>
              </a14:m>
              <a:r>
                <a:rPr lang="en-US" sz="900" b="1"/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lang="ru-RU" sz="9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ru-RU" sz="9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𝒙</m:t>
                          </m:r>
                        </m:e>
                      </m:acc>
                    </m:e>
                    <m:sub>
                      <m:r>
                        <a:rPr lang="en-US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lang="ru-RU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9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r>
                <a:rPr lang="en-US" sz="900" b="1"/>
                <a:t>-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lang="ru-RU" sz="9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ru-RU" sz="9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𝒙</m:t>
                          </m:r>
                        </m:e>
                      </m:acc>
                    </m:e>
                    <m:sub>
                      <m:r>
                        <a:rPr lang="en-US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lang="ru-RU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ru-RU" sz="9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e>
                  </m:d>
                </m:oMath>
              </a14:m>
              <a:endParaRPr lang="ru-RU" sz="900" b="1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ru-RU" sz="9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45805" y="68481"/>
              <a:ext cx="1648437" cy="193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Δ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𝒙 ̇_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ru-RU" sz="900" b="1" i="0">
                  <a:latin typeface="Cambria Math" panose="02040503050406030204" pitchFamily="18" charset="0"/>
                </a:rPr>
                <a:t>∫129_𝟎^𝒕</a:t>
              </a:r>
              <a:r>
                <a:rPr lang="ru-RU" sz="900" b="1" i="0">
                  <a:effectLst/>
                  <a:latin typeface="Cambria Math" panose="02040503050406030204" pitchFamily="18" charset="0"/>
                </a:rPr>
                <a:t>▒〖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</a:t>
              </a:r>
              <a:r>
                <a:rPr lang="ru-RU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 ̈_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"(</a:t>
              </a:r>
              <a:r>
                <a:rPr lang="el-GR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𝝃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")</a:t>
              </a:r>
              <a:r>
                <a:rPr lang="ru-RU" sz="900" b="1" i="0">
                  <a:effectLst/>
                </a:rPr>
                <a:t> </a:t>
              </a:r>
              <a:r>
                <a:rPr lang="ru-RU" sz="900" b="1" i="0">
                  <a:effectLst/>
                  <a:latin typeface="Cambria Math" panose="02040503050406030204" pitchFamily="18" charset="0"/>
                </a:rPr>
                <a:t>" 〗</a:t>
              </a:r>
              <a:r>
                <a:rPr lang="en-US" sz="900" b="1"/>
                <a:t>d</a:t>
              </a:r>
              <a:r>
                <a:rPr lang="el-GR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𝝃</a:t>
              </a:r>
              <a:r>
                <a:rPr lang="en-US" sz="900" b="1"/>
                <a:t>=</a:t>
              </a:r>
              <a:r>
                <a:rPr lang="ru-RU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 ̇_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r>
                <a:rPr lang="en-US" sz="900" b="1"/>
                <a:t>-</a:t>
              </a:r>
              <a:r>
                <a:rPr lang="ru-RU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 ̇_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(𝟎)</a:t>
              </a:r>
              <a:endParaRPr lang="ru-RU" sz="900" b="1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ru-RU" sz="900"/>
            </a:p>
          </xdr:txBody>
        </xdr:sp>
      </mc:Fallback>
    </mc:AlternateContent>
    <xdr:clientData/>
  </xdr:oneCellAnchor>
  <xdr:oneCellAnchor>
    <xdr:from>
      <xdr:col>14</xdr:col>
      <xdr:colOff>68821</xdr:colOff>
      <xdr:row>1</xdr:row>
      <xdr:rowOff>14783</xdr:rowOff>
    </xdr:from>
    <xdr:ext cx="3152555" cy="2027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6623947" y="282339"/>
              <a:ext cx="3152555" cy="20275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int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𝒙</m:t>
                      </m:r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  <m:r>
                    <a:rPr kumimoji="0" lang="ru-RU" sz="900" b="1" i="1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nary>
                    <m:naryPr>
                      <m:limLoc m:val="undOvr"/>
                      <m:grow m:val="on"/>
                      <m:ctrlPr>
                        <a:rPr kumimoji="0" lang="ru-RU" sz="900" b="1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>
                      <m:r>
                        <a:rPr kumimoji="0" lang="ru-RU" sz="900" b="1" i="0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sub>
                    <m:sup>
                      <m:r>
                        <a:rPr kumimoji="0" lang="ru-RU" sz="900" b="1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𝒕</m:t>
                      </m:r>
                    </m:sup>
                    <m:e>
                      <m:r>
                        <m:rPr>
                          <m:nor/>
                        </m:rPr>
                        <a:rPr lang="el-GR" sz="900" b="1">
                          <a:effectLst/>
                          <a:latin typeface="+mn-lt"/>
                          <a:ea typeface="+mn-ea"/>
                          <a:cs typeface="+mn-cs"/>
                        </a:rPr>
                        <m:t>Δ</m:t>
                      </m:r>
                      <m:sSub>
                        <m:sSubPr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acc>
                            <m:accPr>
                              <m:chr m:val="̇"/>
                              <m:ctrlPr>
                                <a:rPr lang="ru-RU" sz="900" b="1" i="1"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accPr>
                            <m:e>
                              <m:r>
                                <a:rPr lang="ru-RU" sz="900" b="1" i="1"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𝒙</m:t>
                              </m:r>
                            </m:e>
                          </m:acc>
                        </m:e>
                        <m:sub>
                          <m:r>
                            <a:rPr lang="en-US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</m:sub>
                      </m:sSub>
                      <m:d>
                        <m:dPr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900" b="1" i="0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𝐩</m:t>
                          </m:r>
                        </m:e>
                      </m:d>
                    </m:e>
                  </m:nary>
                </m:oMath>
              </a14:m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dp=</a:t>
              </a:r>
              <a14:m>
                <m:oMath xmlns:m="http://schemas.openxmlformats.org/officeDocument/2006/math">
                  <m:nary>
                    <m:naryPr>
                      <m:limLoc m:val="undOvr"/>
                      <m:grow m:val="on"/>
                      <m:ctrlPr>
                        <a:rPr lang="ru-RU" sz="900" b="1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>
                      <m:r>
                        <a:rPr lang="ru-RU" sz="900" b="1" i="0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sub>
                    <m:sup>
                      <m:r>
                        <a:rPr lang="ru-RU" sz="900" b="1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𝒕</m:t>
                      </m:r>
                    </m:sup>
                    <m:e>
                      <m:sSub>
                        <m:sSubPr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acc>
                            <m:accPr>
                              <m:chr m:val="̇"/>
                              <m:ctrlPr>
                                <a:rPr lang="ru-RU" sz="900" b="1" i="1"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accPr>
                            <m:e>
                              <m:r>
                                <a:rPr lang="en-US" sz="900" b="1" i="1"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𝒙</m:t>
                              </m:r>
                            </m:e>
                          </m:acc>
                        </m:e>
                        <m:sub>
                          <m:r>
                            <a:rPr lang="en-US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</m:sub>
                      </m:sSub>
                      <m:d>
                        <m:dPr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900" b="1" i="0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𝐩</m:t>
                          </m:r>
                        </m:e>
                      </m:d>
                      <m:r>
                        <m:rPr>
                          <m:nor/>
                        </m:rPr>
                        <a:rPr lang="en-US" sz="900" b="1">
                          <a:effectLst/>
                          <a:latin typeface="+mn-lt"/>
                          <a:ea typeface="+mn-ea"/>
                          <a:cs typeface="+mn-cs"/>
                        </a:rPr>
                        <m:t>−</m:t>
                      </m:r>
                      <m:sSub>
                        <m:sSubPr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acc>
                            <m:accPr>
                              <m:chr m:val="̇"/>
                              <m:ctrlPr>
                                <a:rPr lang="ru-RU" sz="900" b="1" i="1"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accPr>
                            <m:e>
                              <m:r>
                                <a:rPr lang="ru-RU" sz="900" b="1" i="1"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𝒙</m:t>
                              </m:r>
                            </m:e>
                          </m:acc>
                        </m:e>
                        <m:sub>
                          <m:r>
                            <a:rPr lang="en-US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</m:sub>
                      </m:sSub>
                      <m:d>
                        <m:dPr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ru-RU" sz="900" b="1" i="0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𝟎</m:t>
                          </m:r>
                        </m:e>
                      </m:d>
                      <m:r>
                        <a:rPr lang="en-US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  <m:r>
                        <a:rPr lang="en-US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𝒅𝒑</m:t>
                      </m:r>
                    </m:e>
                  </m:nary>
                </m:oMath>
              </a14:m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𝒙</m:t>
                      </m:r>
                    </m:e>
                    <m:sub>
                      <m:r>
                        <a:rPr lang="en-US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900" b="1" i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-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𝒙</m:t>
                      </m:r>
                    </m:e>
                    <m:sub>
                      <m:r>
                        <a:rPr lang="en-US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ru-RU" sz="900" b="1" i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e>
                  </m:d>
                </m:oMath>
              </a14:m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-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𝒙</m:t>
                          </m:r>
                        </m:e>
                      </m:acc>
                    </m:e>
                    <m:sub>
                      <m:r>
                        <a:rPr lang="en-US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ru-RU" sz="900" b="1" i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e>
                  </m:d>
                </m:oMath>
              </a14:m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t</a:t>
              </a:r>
              <a:endParaRPr kumimoji="0" lang="ru-RU" sz="9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6623947" y="282339"/>
              <a:ext cx="3152555" cy="20275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int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kumimoji="0" lang="ru-RU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∫129_𝟎^𝒕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kumimoji="0" lang="ru-RU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"</a:t>
              </a:r>
              <a:r>
                <a:rPr lang="el-GR" sz="900" b="1" i="0"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𝒙 ̇_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𝐩) </a:t>
              </a:r>
              <a:r>
                <a:rPr kumimoji="0" lang="ru-RU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dp=</a:t>
              </a:r>
              <a:r>
                <a:rPr lang="ru-RU" sz="900" b="1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∫129_𝟎^𝒕</a:t>
              </a:r>
              <a:r>
                <a:rPr lang="en-US" sz="900" b="1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ru-RU" sz="900" b="1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〖〖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(𝒙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 ̇〗_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𝐩)</a:t>
              </a:r>
              <a:r>
                <a:rPr lang="en-US" sz="900" b="1" i="0">
                  <a:effectLst/>
                  <a:latin typeface="+mn-lt"/>
                  <a:ea typeface="+mn-ea"/>
                  <a:cs typeface="+mn-cs"/>
                </a:rPr>
                <a:t>"−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𝒙 ̇_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(𝟎)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)𝒅𝒑</a:t>
              </a:r>
              <a:r>
                <a:rPr lang="ru-RU" sz="900" b="1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=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-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(𝟎)</a:t>
              </a: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-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 ̇_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(𝟎)</a:t>
              </a: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t</a:t>
              </a:r>
              <a:endParaRPr kumimoji="0" lang="ru-RU" sz="9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13</xdr:col>
      <xdr:colOff>254893</xdr:colOff>
      <xdr:row>0</xdr:row>
      <xdr:rowOff>107287</xdr:rowOff>
    </xdr:from>
    <xdr:ext cx="410235" cy="1650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/>
            <xdr:cNvSpPr txBox="1"/>
          </xdr:nvSpPr>
          <xdr:spPr>
            <a:xfrm>
              <a:off x="6199991" y="107287"/>
              <a:ext cx="410235" cy="16503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Δ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kumimoji="0" lang="ru-RU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kumimoji="0" lang="ru-RU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𝒙</m:t>
                          </m:r>
                        </m:e>
                      </m:acc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 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6199991" y="107287"/>
              <a:ext cx="410235" cy="16503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Δ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𝒙 ̇_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 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13</xdr:col>
      <xdr:colOff>197673</xdr:colOff>
      <xdr:row>1</xdr:row>
      <xdr:rowOff>42437</xdr:rowOff>
    </xdr:from>
    <xdr:ext cx="518688" cy="1556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/>
            <xdr:cNvSpPr txBox="1"/>
          </xdr:nvSpPr>
          <xdr:spPr>
            <a:xfrm>
              <a:off x="6142771" y="309993"/>
              <a:ext cx="518688" cy="15560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int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𝒙</m:t>
                      </m:r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 </a:t>
              </a:r>
              <a:r>
                <a:rPr kumimoji="0" lang="ru-RU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>
              <a:off x="6142771" y="309993"/>
              <a:ext cx="518688" cy="15560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int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 </a:t>
              </a:r>
              <a:r>
                <a:rPr kumimoji="0" lang="ru-RU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12</xdr:col>
      <xdr:colOff>588624</xdr:colOff>
      <xdr:row>2</xdr:row>
      <xdr:rowOff>37457</xdr:rowOff>
    </xdr:from>
    <xdr:ext cx="3114354" cy="3655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5915297" y="491726"/>
              <a:ext cx="3114354" cy="3655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𝒊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+mn-lt"/>
                        <a:ea typeface="+mn-ea"/>
                        <a:cs typeface="+mn-cs"/>
                      </a:rPr>
                      <m:t> = </m:t>
                    </m:r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+mn-lt"/>
                        <a:ea typeface="+mn-ea"/>
                        <a:cs typeface="+mn-cs"/>
                      </a:rPr>
                      <m:t>int</m:t>
                    </m:r>
                    <m:sSub>
                      <m:sSubPr>
                        <m:ctrlPr>
                          <a:rPr kumimoji="0" lang="ru-RU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0" lang="ru-RU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d>
                      <m:dPr>
                        <m:ctrlPr>
                          <a:rPr kumimoji="0" lang="ru-RU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0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𝐭</m:t>
                        </m:r>
                      </m:e>
                    </m:d>
                    <m:r>
                      <a:rPr kumimoji="0" lang="en-US" sz="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𝒊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𝟎</m:t>
                        </m:r>
                      </m:e>
                    </m:d>
                    <m:r>
                      <a:rPr kumimoji="0" lang="en-US" sz="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̇"/>
                            <m:ctrlPr>
                              <a:rPr kumimoji="0" lang="en-US" sz="800" b="1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kumimoji="0" lang="en-US" sz="800" b="1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𝒙</m:t>
                            </m:r>
                          </m:e>
                        </m:acc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𝒊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𝟎</m:t>
                        </m:r>
                      </m:e>
                    </m:d>
                    <m:r>
                      <a:rPr kumimoji="0" lang="en-US" sz="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𝒕</m:t>
                    </m:r>
                    <m:r>
                      <a:rPr lang="en-US" sz="800" b="1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limLoc m:val="undOvr"/>
                        <m:ctrlPr>
                          <a:rPr lang="ru-RU" sz="800" b="1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4"/>
                          </m:rPr>
                          <a:rPr lang="en-US" sz="800" b="1" i="1">
                            <a:latin typeface="Cambria Math" panose="02040503050406030204" pitchFamily="18" charset="0"/>
                          </a:rPr>
                          <m:t>𝟎</m:t>
                        </m:r>
                      </m:sub>
                      <m:sup>
                        <m:r>
                          <a:rPr lang="en-US" sz="800" b="1" i="1">
                            <a:latin typeface="Cambria Math" panose="02040503050406030204" pitchFamily="18" charset="0"/>
                          </a:rPr>
                          <m:t>𝒕</m:t>
                        </m:r>
                      </m:sup>
                      <m:e>
                        <m:nary>
                          <m:naryPr>
                            <m:limLoc m:val="undOvr"/>
                            <m:ctrlPr>
                              <a:rPr lang="ru-RU" sz="800" b="1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4"/>
                              </m:rPr>
                              <a:rPr lang="en-US" sz="800" b="1" i="1">
                                <a:latin typeface="Cambria Math" panose="02040503050406030204" pitchFamily="18" charset="0"/>
                              </a:rPr>
                              <m:t>𝟎</m:t>
                            </m:r>
                          </m:sub>
                          <m:sup>
                            <m:r>
                              <a:rPr lang="en-US" sz="800" b="1" i="1">
                                <a:latin typeface="Cambria Math" panose="02040503050406030204" pitchFamily="18" charset="0"/>
                              </a:rPr>
                              <m:t>𝒑</m:t>
                            </m:r>
                          </m:sup>
                          <m:e>
                            <m:sSub>
                              <m:sSubPr>
                                <m:ctrlPr>
                                  <a:rPr lang="ru-RU" sz="8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acc>
                                  <m:accPr>
                                    <m:chr m:val="̈"/>
                                    <m:ctrlPr>
                                      <a:rPr lang="ru-RU" sz="800" b="1" i="1">
                                        <a:latin typeface="Cambria Math" panose="02040503050406030204" pitchFamily="18" charset="0"/>
                                      </a:rPr>
                                    </m:ctrlPr>
                                  </m:accPr>
                                  <m:e>
                                    <m:r>
                                      <a:rPr lang="en-US" sz="800" b="1" i="1">
                                        <a:latin typeface="Cambria Math" panose="02040503050406030204" pitchFamily="18" charset="0"/>
                                      </a:rPr>
                                      <m:t>𝒙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n-US" sz="800" b="1" i="1">
                                    <a:latin typeface="Cambria Math" panose="02040503050406030204" pitchFamily="18" charset="0"/>
                                  </a:rPr>
                                  <m:t>𝒊</m:t>
                                </m:r>
                              </m:sub>
                            </m:sSub>
                            <m:d>
                              <m:dPr>
                                <m:ctrlPr>
                                  <a:rPr lang="en-US" sz="800" b="1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𝝃</m:t>
                                </m:r>
                              </m:e>
                            </m:d>
                            <m:r>
                              <a:rPr lang="en-US" sz="8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𝒅</m:t>
                            </m:r>
                            <m:r>
                              <a:rPr lang="en-US" sz="8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𝝃</m:t>
                            </m:r>
                            <m:r>
                              <a:rPr lang="en-US" sz="8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𝒅𝒑</m:t>
                            </m:r>
                            <m:r>
                              <a:rPr lang="en-US" sz="8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𝒙</m:t>
                                </m:r>
                              </m:e>
                              <m:sub>
                                <m: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𝒊</m:t>
                                </m:r>
                              </m:sub>
                            </m:sSub>
                            <m:d>
                              <m:dPr>
                                <m:ctrlP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𝟎</m:t>
                                </m:r>
                              </m:e>
                            </m:d>
                            <m:r>
                              <a:rPr lang="en-US" sz="8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acc>
                                  <m:accPr>
                                    <m:chr m:val="̇"/>
                                    <m:ctrlPr>
                                      <a:rPr lang="en-US" sz="800" b="1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accPr>
                                  <m:e>
                                    <m:r>
                                      <a:rPr lang="en-US" sz="800" b="1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𝒙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𝒊</m:t>
                                </m:r>
                              </m:sub>
                            </m:sSub>
                          </m:e>
                        </m:nary>
                      </m:e>
                    </m:nary>
                    <m:d>
                      <m:dPr>
                        <m:ctrlPr>
                          <a:rPr lang="en-US" sz="8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800" b="1" i="0">
                            <a:latin typeface="Cambria Math" panose="02040503050406030204" pitchFamily="18" charset="0"/>
                          </a:rPr>
                          <m:t>𝟎</m:t>
                        </m:r>
                      </m:e>
                    </m:d>
                    <m:r>
                      <a:rPr lang="en-US" sz="800" b="1" i="0">
                        <a:latin typeface="Cambria Math" panose="02040503050406030204" pitchFamily="18" charset="0"/>
                      </a:rPr>
                      <m:t>𝐭</m:t>
                    </m:r>
                  </m:oMath>
                </m:oMathPara>
              </a14:m>
              <a:endParaRPr lang="ru-RU" sz="8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5915297" y="491726"/>
              <a:ext cx="3114354" cy="3655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𝒙_𝒊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= int</a:t>
              </a:r>
              <a:r>
                <a:rPr kumimoji="0" lang="ru-RU" sz="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𝒙_</a:t>
              </a: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kumimoji="0" lang="ru-RU" sz="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𝐭)+</a:t>
              </a: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𝒙_𝒊 (𝟎)+𝒙 ̇_𝒊 (𝟎)𝒕</a:t>
              </a:r>
              <a:r>
                <a:rPr lang="en-US" sz="800" b="1" i="0">
                  <a:latin typeface="Cambria Math" panose="02040503050406030204" pitchFamily="18" charset="0"/>
                </a:rPr>
                <a:t>=</a:t>
              </a:r>
              <a:r>
                <a:rPr lang="ru-RU" sz="800" b="1" i="0">
                  <a:latin typeface="Cambria Math" panose="02040503050406030204" pitchFamily="18" charset="0"/>
                </a:rPr>
                <a:t>∫1</a:t>
              </a:r>
              <a:r>
                <a:rPr lang="en-US" sz="800" b="1" i="0">
                  <a:latin typeface="Cambria Math" panose="02040503050406030204" pitchFamily="18" charset="0"/>
                </a:rPr>
                <a:t>_𝟎^𝒕</a:t>
              </a:r>
              <a:r>
                <a:rPr lang="en-US" sz="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ru-RU" sz="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∫1</a:t>
              </a:r>
              <a:r>
                <a:rPr lang="en-US" sz="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800" b="1" i="0">
                  <a:latin typeface="Cambria Math" panose="02040503050406030204" pitchFamily="18" charset="0"/>
                </a:rPr>
                <a:t>𝟎^𝒑</a:t>
              </a:r>
              <a:r>
                <a:rPr lang="en-US" sz="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▒〖</a:t>
              </a:r>
              <a:r>
                <a:rPr lang="en-US" sz="800" b="1" i="0">
                  <a:latin typeface="Cambria Math" panose="02040503050406030204" pitchFamily="18" charset="0"/>
                </a:rPr>
                <a:t>𝒙</a:t>
              </a:r>
              <a:r>
                <a:rPr lang="ru-RU" sz="800" b="1" i="0">
                  <a:latin typeface="Cambria Math" panose="02040503050406030204" pitchFamily="18" charset="0"/>
                </a:rPr>
                <a:t> ̈_</a:t>
              </a:r>
              <a:r>
                <a:rPr lang="en-US" sz="800" b="1" i="0">
                  <a:latin typeface="Cambria Math" panose="02040503050406030204" pitchFamily="18" charset="0"/>
                </a:rPr>
                <a:t>𝒊 (</a:t>
              </a:r>
              <a:r>
                <a:rPr lang="en-US" sz="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𝝃)𝒅𝝃𝒅𝒑+𝒙_𝒊 (𝟎)+𝒙 ̇_𝒊 〗 </a:t>
              </a:r>
              <a:r>
                <a:rPr lang="en-US" sz="800" b="1" i="0">
                  <a:latin typeface="Cambria Math" panose="02040503050406030204" pitchFamily="18" charset="0"/>
                </a:rPr>
                <a:t>(𝟎)𝐭</a:t>
              </a:r>
              <a:endParaRPr lang="ru-RU" sz="800" b="1"/>
            </a:p>
          </xdr:txBody>
        </xdr:sp>
      </mc:Fallback>
    </mc:AlternateContent>
    <xdr:clientData/>
  </xdr:oneCellAnchor>
  <xdr:oneCellAnchor>
    <xdr:from>
      <xdr:col>18</xdr:col>
      <xdr:colOff>45805</xdr:colOff>
      <xdr:row>2</xdr:row>
      <xdr:rowOff>131423</xdr:rowOff>
    </xdr:from>
    <xdr:ext cx="81689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9041044" y="591620"/>
              <a:ext cx="8168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b="0" i="1">
                        <a:latin typeface="Cambria Math" panose="02040503050406030204" pitchFamily="18" charset="0"/>
                      </a:rPr>
                      <m:t>Где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∈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  <m:r>
                          <a:rPr lang="ru-RU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;2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9041044" y="591620"/>
              <a:ext cx="8168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b="0" i="0">
                  <a:latin typeface="Cambria Math" panose="02040503050406030204" pitchFamily="18" charset="0"/>
                </a:rPr>
                <a:t>Где </a:t>
              </a:r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∈[1</a:t>
              </a:r>
              <a:r>
                <a:rPr lang="ru-RU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;2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]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13</xdr:col>
      <xdr:colOff>83089</xdr:colOff>
      <xdr:row>4</xdr:row>
      <xdr:rowOff>21981</xdr:rowOff>
    </xdr:from>
    <xdr:ext cx="336544" cy="164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5988589" y="879231"/>
              <a:ext cx="336544" cy="164462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Δ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kumimoji="0" lang="ru-RU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kumimoji="0" lang="ru-RU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𝒙</m:t>
                          </m:r>
                        </m:e>
                      </m:acc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endParaRPr kumimoji="0" lang="ru-RU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5988589" y="879231"/>
              <a:ext cx="336544" cy="164462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Δ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𝒙 ̇_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𝟏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endParaRPr kumimoji="0" lang="ru-RU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14</xdr:col>
      <xdr:colOff>96320</xdr:colOff>
      <xdr:row>4</xdr:row>
      <xdr:rowOff>26756</xdr:rowOff>
    </xdr:from>
    <xdr:ext cx="406686" cy="1556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6651446" y="882936"/>
              <a:ext cx="406686" cy="15560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int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𝒙</m:t>
                      </m:r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endParaRPr kumimoji="0" lang="ru-RU" sz="9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6651446" y="882936"/>
              <a:ext cx="406686" cy="15560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int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𝟏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endParaRPr kumimoji="0" lang="ru-RU" sz="9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15</xdr:col>
      <xdr:colOff>48451</xdr:colOff>
      <xdr:row>4</xdr:row>
      <xdr:rowOff>44074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/>
            <xdr:cNvSpPr txBox="1"/>
          </xdr:nvSpPr>
          <xdr:spPr>
            <a:xfrm>
              <a:off x="7166224" y="901324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7166224" y="901324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𝒙_𝟏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17</xdr:col>
      <xdr:colOff>128426</xdr:colOff>
      <xdr:row>4</xdr:row>
      <xdr:rowOff>32107</xdr:rowOff>
    </xdr:from>
    <xdr:ext cx="325843" cy="1364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/>
            <xdr:cNvSpPr txBox="1"/>
          </xdr:nvSpPr>
          <xdr:spPr>
            <a:xfrm>
              <a:off x="8495772" y="882030"/>
              <a:ext cx="325843" cy="136412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Δ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kumimoji="0" lang="ru-RU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kumimoji="0" lang="ru-RU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𝒙</m:t>
                          </m:r>
                        </m:e>
                      </m:acc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𝟐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endParaRPr kumimoji="0" lang="ru-RU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7" name="TextBox 26"/>
            <xdr:cNvSpPr txBox="1"/>
          </xdr:nvSpPr>
          <xdr:spPr>
            <a:xfrm>
              <a:off x="8495772" y="882030"/>
              <a:ext cx="325843" cy="136412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Δ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𝒙 ̇_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𝟐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endParaRPr kumimoji="0" lang="ru-RU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18</xdr:col>
      <xdr:colOff>123076</xdr:colOff>
      <xdr:row>4</xdr:row>
      <xdr:rowOff>26756</xdr:rowOff>
    </xdr:from>
    <xdr:ext cx="406686" cy="1556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/>
            <xdr:cNvSpPr txBox="1"/>
          </xdr:nvSpPr>
          <xdr:spPr>
            <a:xfrm>
              <a:off x="9118315" y="882936"/>
              <a:ext cx="406686" cy="15560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int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𝒙</m:t>
                      </m:r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𝟐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endParaRPr kumimoji="0" lang="ru-RU" sz="9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8" name="TextBox 27"/>
            <xdr:cNvSpPr txBox="1"/>
          </xdr:nvSpPr>
          <xdr:spPr>
            <a:xfrm>
              <a:off x="9118315" y="882936"/>
              <a:ext cx="406686" cy="15560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int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𝟐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endParaRPr kumimoji="0" lang="ru-RU" sz="9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19</xdr:col>
      <xdr:colOff>43878</xdr:colOff>
      <xdr:row>4</xdr:row>
      <xdr:rowOff>32106</xdr:rowOff>
    </xdr:from>
    <xdr:ext cx="276509" cy="1324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/>
            <xdr:cNvSpPr txBox="1"/>
          </xdr:nvSpPr>
          <xdr:spPr>
            <a:xfrm>
              <a:off x="9586196" y="889356"/>
              <a:ext cx="276509" cy="13241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9" name="TextBox 28"/>
            <xdr:cNvSpPr txBox="1"/>
          </xdr:nvSpPr>
          <xdr:spPr>
            <a:xfrm>
              <a:off x="9586196" y="889356"/>
              <a:ext cx="276509" cy="13241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𝒙_𝟐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23</xdr:col>
      <xdr:colOff>90679</xdr:colOff>
      <xdr:row>0</xdr:row>
      <xdr:rowOff>68481</xdr:rowOff>
    </xdr:from>
    <xdr:ext cx="1648437" cy="193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/>
            <xdr:cNvSpPr txBox="1"/>
          </xdr:nvSpPr>
          <xdr:spPr>
            <a:xfrm>
              <a:off x="6664630" y="68481"/>
              <a:ext cx="1648437" cy="193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Δ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kumimoji="0" lang="ru-RU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kumimoji="0" lang="en-US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𝒚</m:t>
                          </m:r>
                        </m:e>
                      </m:acc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  <m:r>
                    <a:rPr kumimoji="0" lang="ru-RU" sz="900" b="1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nary>
                    <m:naryPr>
                      <m:limLoc m:val="undOvr"/>
                      <m:grow m:val="on"/>
                      <m:ctrlPr>
                        <a:rPr lang="ru-RU" sz="900" b="1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a:rPr lang="ru-RU" sz="900" b="1" i="0">
                          <a:latin typeface="Cambria Math" panose="02040503050406030204" pitchFamily="18" charset="0"/>
                        </a:rPr>
                        <m:t>𝟎</m:t>
                      </m:r>
                    </m:sub>
                    <m:sup>
                      <m:r>
                        <a:rPr lang="ru-RU" sz="900" b="1" i="1">
                          <a:latin typeface="Cambria Math" panose="02040503050406030204" pitchFamily="18" charset="0"/>
                        </a:rPr>
                        <m:t>𝒕</m:t>
                      </m:r>
                    </m:sup>
                    <m:e>
                      <m:sSub>
                        <m:sSubPr>
                          <m:ctrlPr>
                            <a:rPr lang="ru-RU" sz="9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acc>
                            <m:accPr>
                              <m:chr m:val="̈"/>
                              <m:ctrlPr>
                                <a:rPr lang="ru-RU" sz="9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accPr>
                            <m:e>
                              <m:r>
                                <a:rPr lang="en-US" sz="9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𝒚</m:t>
                              </m:r>
                            </m:e>
                          </m:acc>
                        </m:e>
                        <m:sub>
                          <m:r>
                            <a:rPr lang="en-US" sz="9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</m:sub>
                      </m:sSub>
                      <m:r>
                        <m:rPr>
                          <m:nor/>
                        </m:rPr>
                        <a:rPr lang="en-US" sz="900" b="1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</m:t>
                      </m:r>
                      <m:r>
                        <a:rPr lang="el-GR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𝝃</m:t>
                      </m:r>
                      <m:r>
                        <m:rPr>
                          <m:nor/>
                        </m:rPr>
                        <a:rPr lang="en-US" sz="900" b="1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)</m:t>
                      </m:r>
                      <m:r>
                        <m:rPr>
                          <m:nor/>
                        </m:rPr>
                        <a:rPr lang="ru-RU" sz="900" b="1">
                          <a:effectLst/>
                        </a:rPr>
                        <m:t> </m:t>
                      </m:r>
                    </m:e>
                  </m:nary>
                </m:oMath>
              </a14:m>
              <a:r>
                <a:rPr lang="en-US" sz="900" b="1"/>
                <a:t>d</a:t>
              </a:r>
              <a14:m>
                <m:oMath xmlns:m="http://schemas.openxmlformats.org/officeDocument/2006/math">
                  <m:r>
                    <a:rPr lang="el-GR" sz="9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𝝃</m:t>
                  </m:r>
                </m:oMath>
              </a14:m>
              <a:r>
                <a:rPr lang="en-US" sz="900" b="1"/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lang="ru-RU" sz="9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en-US" sz="9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𝒚</m:t>
                          </m:r>
                        </m:e>
                      </m:acc>
                    </m:e>
                    <m:sub>
                      <m:r>
                        <a:rPr lang="en-US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lang="ru-RU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9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r>
                <a:rPr lang="en-US" sz="900" b="1"/>
                <a:t>-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lang="ru-RU" sz="9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en-US" sz="9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𝒚</m:t>
                          </m:r>
                        </m:e>
                      </m:acc>
                    </m:e>
                    <m:sub>
                      <m:r>
                        <a:rPr lang="en-US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lang="ru-RU" sz="9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ru-RU" sz="900" b="1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e>
                  </m:d>
                </m:oMath>
              </a14:m>
              <a:endParaRPr lang="ru-RU" sz="900" b="1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ru-RU" sz="900"/>
            </a:p>
          </xdr:txBody>
        </xdr:sp>
      </mc:Choice>
      <mc:Fallback xmlns="">
        <xdr:sp macro="" textlink="">
          <xdr:nvSpPr>
            <xdr:cNvPr id="30" name="TextBox 29"/>
            <xdr:cNvSpPr txBox="1"/>
          </xdr:nvSpPr>
          <xdr:spPr>
            <a:xfrm>
              <a:off x="6664630" y="68481"/>
              <a:ext cx="1648437" cy="193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Δ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 ̇_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ru-RU" sz="900" b="1" i="0">
                  <a:latin typeface="Cambria Math" panose="02040503050406030204" pitchFamily="18" charset="0"/>
                </a:rPr>
                <a:t>∫129_𝟎^𝒕</a:t>
              </a:r>
              <a:r>
                <a:rPr lang="ru-RU" sz="900" b="1" i="0">
                  <a:effectLst/>
                  <a:latin typeface="Cambria Math" panose="02040503050406030204" pitchFamily="18" charset="0"/>
                </a:rPr>
                <a:t>▒〖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lang="ru-RU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 ̈_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"(</a:t>
              </a:r>
              <a:r>
                <a:rPr lang="el-GR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𝝃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")</a:t>
              </a:r>
              <a:r>
                <a:rPr lang="ru-RU" sz="900" b="1" i="0">
                  <a:effectLst/>
                </a:rPr>
                <a:t> </a:t>
              </a:r>
              <a:r>
                <a:rPr lang="ru-RU" sz="900" b="1" i="0">
                  <a:effectLst/>
                  <a:latin typeface="Cambria Math" panose="02040503050406030204" pitchFamily="18" charset="0"/>
                </a:rPr>
                <a:t>" 〗</a:t>
              </a:r>
              <a:r>
                <a:rPr lang="en-US" sz="900" b="1"/>
                <a:t>d</a:t>
              </a:r>
              <a:r>
                <a:rPr lang="el-GR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𝝃</a:t>
              </a:r>
              <a:r>
                <a:rPr lang="en-US" sz="900" b="1"/>
                <a:t>=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lang="ru-RU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 ̇_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r>
                <a:rPr lang="en-US" sz="900" b="1"/>
                <a:t>-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lang="ru-RU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 ̇_</a:t>
              </a:r>
              <a:r>
                <a:rPr lang="en-US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(𝟎)</a:t>
              </a:r>
              <a:endParaRPr lang="ru-RU" sz="900" b="1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ru-RU" sz="900"/>
            </a:p>
          </xdr:txBody>
        </xdr:sp>
      </mc:Fallback>
    </mc:AlternateContent>
    <xdr:clientData/>
  </xdr:oneCellAnchor>
  <xdr:oneCellAnchor>
    <xdr:from>
      <xdr:col>23</xdr:col>
      <xdr:colOff>68821</xdr:colOff>
      <xdr:row>1</xdr:row>
      <xdr:rowOff>14783</xdr:rowOff>
    </xdr:from>
    <xdr:ext cx="3152555" cy="2027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/>
            <xdr:cNvSpPr txBox="1"/>
          </xdr:nvSpPr>
          <xdr:spPr>
            <a:xfrm>
              <a:off x="6642772" y="278421"/>
              <a:ext cx="3152555" cy="20275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int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𝒚</m:t>
                      </m:r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  <m:r>
                    <a:rPr kumimoji="0" lang="ru-RU" sz="900" b="1" i="1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nary>
                    <m:naryPr>
                      <m:limLoc m:val="undOvr"/>
                      <m:grow m:val="on"/>
                      <m:ctrlPr>
                        <a:rPr kumimoji="0" lang="ru-RU" sz="900" b="1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>
                      <m:r>
                        <a:rPr kumimoji="0" lang="ru-RU" sz="900" b="1" i="0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sub>
                    <m:sup>
                      <m:r>
                        <a:rPr kumimoji="0" lang="ru-RU" sz="900" b="1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𝒕</m:t>
                      </m:r>
                    </m:sup>
                    <m:e>
                      <m:r>
                        <m:rPr>
                          <m:nor/>
                        </m:rPr>
                        <a:rPr lang="el-GR" sz="900" b="1">
                          <a:effectLst/>
                          <a:latin typeface="+mn-lt"/>
                          <a:ea typeface="+mn-ea"/>
                          <a:cs typeface="+mn-cs"/>
                        </a:rPr>
                        <m:t>Δ</m:t>
                      </m:r>
                      <m:sSub>
                        <m:sSubPr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acc>
                            <m:accPr>
                              <m:chr m:val="̇"/>
                              <m:ctrlPr>
                                <a:rPr lang="ru-RU" sz="900" b="1" i="1"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accPr>
                            <m:e>
                              <m:r>
                                <a:rPr lang="en-US" sz="900" b="1" i="1"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𝒚</m:t>
                              </m:r>
                            </m:e>
                          </m:acc>
                        </m:e>
                        <m:sub>
                          <m:r>
                            <a:rPr lang="en-US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</m:sub>
                      </m:sSub>
                      <m:d>
                        <m:dPr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900" b="1" i="0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𝐩</m:t>
                          </m:r>
                        </m:e>
                      </m:d>
                    </m:e>
                  </m:nary>
                </m:oMath>
              </a14:m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dp=</a:t>
              </a:r>
              <a14:m>
                <m:oMath xmlns:m="http://schemas.openxmlformats.org/officeDocument/2006/math">
                  <m:nary>
                    <m:naryPr>
                      <m:limLoc m:val="undOvr"/>
                      <m:grow m:val="on"/>
                      <m:ctrlPr>
                        <a:rPr lang="ru-RU" sz="900" b="1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>
                      <m:r>
                        <a:rPr lang="ru-RU" sz="900" b="1" i="0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sub>
                    <m:sup>
                      <m:r>
                        <a:rPr lang="ru-RU" sz="900" b="1" i="1" baseline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𝒕</m:t>
                      </m:r>
                    </m:sup>
                    <m:e>
                      <m:sSub>
                        <m:sSubPr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acc>
                            <m:accPr>
                              <m:chr m:val="̇"/>
                              <m:ctrlPr>
                                <a:rPr lang="ru-RU" sz="900" b="1" i="1"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accPr>
                            <m:e>
                              <m:r>
                                <a:rPr lang="en-US" sz="900" b="1" i="1"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𝒚</m:t>
                              </m:r>
                            </m:e>
                          </m:acc>
                        </m:e>
                        <m:sub>
                          <m:r>
                            <a:rPr lang="en-US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</m:sub>
                      </m:sSub>
                      <m:d>
                        <m:dPr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900" b="1" i="0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𝐩</m:t>
                          </m:r>
                        </m:e>
                      </m:d>
                      <m:r>
                        <m:rPr>
                          <m:nor/>
                        </m:rPr>
                        <a:rPr lang="en-US" sz="900" b="1">
                          <a:effectLst/>
                          <a:latin typeface="+mn-lt"/>
                          <a:ea typeface="+mn-ea"/>
                          <a:cs typeface="+mn-cs"/>
                        </a:rPr>
                        <m:t>−</m:t>
                      </m:r>
                      <m:sSub>
                        <m:sSubPr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acc>
                            <m:accPr>
                              <m:chr m:val="̇"/>
                              <m:ctrlPr>
                                <a:rPr lang="ru-RU" sz="900" b="1" i="1"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accPr>
                            <m:e>
                              <m:r>
                                <a:rPr lang="en-US" sz="900" b="1" i="1"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𝒚</m:t>
                              </m:r>
                            </m:e>
                          </m:acc>
                        </m:e>
                        <m:sub>
                          <m:r>
                            <a:rPr lang="en-US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</m:sub>
                      </m:sSub>
                      <m:d>
                        <m:dPr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ru-RU" sz="900" b="1" i="0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𝟎</m:t>
                          </m:r>
                        </m:e>
                      </m:d>
                      <m:r>
                        <a:rPr lang="en-US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  <m:r>
                        <a:rPr lang="en-US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𝒅𝒑</m:t>
                      </m:r>
                    </m:e>
                  </m:nary>
                </m:oMath>
              </a14:m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=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𝒚</m:t>
                      </m:r>
                    </m:e>
                    <m:sub>
                      <m:r>
                        <a:rPr lang="en-US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900" b="1" i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-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𝒚</m:t>
                      </m:r>
                    </m:e>
                    <m:sub>
                      <m:r>
                        <a:rPr lang="en-US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ru-RU" sz="900" b="1" i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e>
                  </m:d>
                </m:oMath>
              </a14:m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-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lang="ru-RU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en-US" sz="900" b="1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𝒚</m:t>
                          </m:r>
                        </m:e>
                      </m:acc>
                    </m:e>
                    <m:sub>
                      <m:r>
                        <a:rPr lang="en-US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lang="ru-RU" sz="900" b="1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ru-RU" sz="900" b="1" i="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</m:e>
                  </m:d>
                </m:oMath>
              </a14:m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t</a:t>
              </a:r>
              <a:endParaRPr kumimoji="0" lang="ru-RU" sz="9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1" name="TextBox 30"/>
            <xdr:cNvSpPr txBox="1"/>
          </xdr:nvSpPr>
          <xdr:spPr>
            <a:xfrm>
              <a:off x="6642772" y="278421"/>
              <a:ext cx="3152555" cy="20275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int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kumimoji="0" lang="ru-RU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∫129_𝟎^𝒕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kumimoji="0" lang="ru-RU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"</a:t>
              </a:r>
              <a:r>
                <a:rPr lang="el-GR" sz="900" b="1" i="0"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 ̇_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𝐩) </a:t>
              </a:r>
              <a:r>
                <a:rPr kumimoji="0" lang="ru-RU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dp=</a:t>
              </a:r>
              <a:r>
                <a:rPr lang="ru-RU" sz="900" b="1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∫129_𝟎^𝒕</a:t>
              </a:r>
              <a:r>
                <a:rPr lang="en-US" sz="900" b="1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ru-RU" sz="900" b="1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〖〖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(𝒚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 ̇〗_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𝐩)</a:t>
              </a:r>
              <a:r>
                <a:rPr lang="en-US" sz="900" b="1" i="0">
                  <a:effectLst/>
                  <a:latin typeface="+mn-lt"/>
                  <a:ea typeface="+mn-ea"/>
                  <a:cs typeface="+mn-cs"/>
                </a:rPr>
                <a:t>"−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 ̇_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(𝟎)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)𝒅𝒑</a:t>
              </a:r>
              <a:r>
                <a:rPr lang="ru-RU" sz="900" b="1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=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-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(𝟎)</a:t>
              </a: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-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 ̇_</a:t>
              </a:r>
              <a:r>
                <a:rPr lang="en-US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ru-RU" sz="9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(𝟎)</a:t>
              </a: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t</a:t>
              </a:r>
              <a:endParaRPr kumimoji="0" lang="ru-RU" sz="9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22</xdr:col>
      <xdr:colOff>254893</xdr:colOff>
      <xdr:row>0</xdr:row>
      <xdr:rowOff>107287</xdr:rowOff>
    </xdr:from>
    <xdr:ext cx="410235" cy="1650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/>
            <xdr:cNvSpPr txBox="1"/>
          </xdr:nvSpPr>
          <xdr:spPr>
            <a:xfrm>
              <a:off x="6216522" y="107287"/>
              <a:ext cx="410235" cy="16503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Δ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kumimoji="0" lang="ru-RU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kumimoji="0" lang="en-US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𝒚</m:t>
                          </m:r>
                        </m:e>
                      </m:acc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 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2" name="TextBox 31"/>
            <xdr:cNvSpPr txBox="1"/>
          </xdr:nvSpPr>
          <xdr:spPr>
            <a:xfrm>
              <a:off x="6216522" y="107287"/>
              <a:ext cx="410235" cy="16503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Δ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 ̇_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 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22</xdr:col>
      <xdr:colOff>197673</xdr:colOff>
      <xdr:row>1</xdr:row>
      <xdr:rowOff>42437</xdr:rowOff>
    </xdr:from>
    <xdr:ext cx="518688" cy="1556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/>
            <xdr:cNvSpPr txBox="1"/>
          </xdr:nvSpPr>
          <xdr:spPr>
            <a:xfrm>
              <a:off x="6159302" y="306075"/>
              <a:ext cx="518688" cy="15560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int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𝒚</m:t>
                      </m:r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 </a:t>
              </a:r>
              <a:r>
                <a:rPr kumimoji="0" lang="ru-RU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3" name="TextBox 32"/>
            <xdr:cNvSpPr txBox="1"/>
          </xdr:nvSpPr>
          <xdr:spPr>
            <a:xfrm>
              <a:off x="6159302" y="306075"/>
              <a:ext cx="518688" cy="15560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int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 </a:t>
              </a:r>
              <a:r>
                <a:rPr kumimoji="0" lang="ru-RU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588624</xdr:colOff>
      <xdr:row>2</xdr:row>
      <xdr:rowOff>37457</xdr:rowOff>
    </xdr:from>
    <xdr:ext cx="3114354" cy="3852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/>
            <xdr:cNvSpPr txBox="1"/>
          </xdr:nvSpPr>
          <xdr:spPr>
            <a:xfrm>
              <a:off x="5937932" y="488194"/>
              <a:ext cx="3114354" cy="3852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𝒚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𝒊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+mn-lt"/>
                        <a:ea typeface="+mn-ea"/>
                        <a:cs typeface="+mn-cs"/>
                      </a:rPr>
                      <m:t> = </m:t>
                    </m:r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+mn-lt"/>
                        <a:ea typeface="+mn-ea"/>
                        <a:cs typeface="+mn-cs"/>
                      </a:rPr>
                      <m:t>int</m:t>
                    </m:r>
                    <m:sSub>
                      <m:sSubPr>
                        <m:ctrlPr>
                          <a:rPr kumimoji="0" lang="ru-RU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𝒚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</m:t>
                        </m:r>
                      </m:sub>
                    </m:sSub>
                    <m:d>
                      <m:dPr>
                        <m:ctrlPr>
                          <a:rPr kumimoji="0" lang="ru-RU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0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𝐭</m:t>
                        </m:r>
                      </m:e>
                    </m:d>
                    <m:r>
                      <a:rPr kumimoji="0" lang="en-US" sz="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𝒚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𝒊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𝟎</m:t>
                        </m:r>
                      </m:e>
                    </m:d>
                    <m:r>
                      <a:rPr kumimoji="0" lang="en-US" sz="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acc>
                          <m:accPr>
                            <m:chr m:val="̇"/>
                            <m:ctrlPr>
                              <a:rPr kumimoji="0" lang="en-US" sz="800" b="1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kumimoji="0" lang="en-US" sz="800" b="1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𝒚</m:t>
                            </m:r>
                          </m:e>
                        </m:acc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𝒊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𝟎</m:t>
                        </m:r>
                      </m:e>
                    </m:d>
                    <m:r>
                      <a:rPr kumimoji="0" lang="en-US" sz="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𝒕</m:t>
                    </m:r>
                    <m:r>
                      <a:rPr lang="en-US" sz="800" b="1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limLoc m:val="undOvr"/>
                        <m:ctrlPr>
                          <a:rPr lang="ru-RU" sz="800" b="1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4"/>
                          </m:rPr>
                          <a:rPr lang="en-US" sz="800" b="1" i="1">
                            <a:latin typeface="Cambria Math" panose="02040503050406030204" pitchFamily="18" charset="0"/>
                          </a:rPr>
                          <m:t>𝟎</m:t>
                        </m:r>
                      </m:sub>
                      <m:sup>
                        <m:r>
                          <a:rPr lang="en-US" sz="800" b="1" i="1">
                            <a:latin typeface="Cambria Math" panose="02040503050406030204" pitchFamily="18" charset="0"/>
                          </a:rPr>
                          <m:t>𝒕</m:t>
                        </m:r>
                      </m:sup>
                      <m:e>
                        <m:nary>
                          <m:naryPr>
                            <m:limLoc m:val="undOvr"/>
                            <m:ctrlPr>
                              <a:rPr lang="ru-RU" sz="800" b="1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4"/>
                              </m:rPr>
                              <a:rPr lang="en-US" sz="800" b="1" i="1">
                                <a:latin typeface="Cambria Math" panose="02040503050406030204" pitchFamily="18" charset="0"/>
                              </a:rPr>
                              <m:t>𝟎</m:t>
                            </m:r>
                          </m:sub>
                          <m:sup>
                            <m:r>
                              <a:rPr lang="en-US" sz="800" b="1" i="1">
                                <a:latin typeface="Cambria Math" panose="02040503050406030204" pitchFamily="18" charset="0"/>
                              </a:rPr>
                              <m:t>𝒑</m:t>
                            </m:r>
                          </m:sup>
                          <m:e>
                            <m:sSub>
                              <m:sSubPr>
                                <m:ctrlPr>
                                  <a:rPr lang="ru-RU" sz="800" b="1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acc>
                                  <m:accPr>
                                    <m:chr m:val="̈"/>
                                    <m:ctrlPr>
                                      <a:rPr lang="ru-RU" sz="800" b="1" i="1">
                                        <a:latin typeface="Cambria Math" panose="02040503050406030204" pitchFamily="18" charset="0"/>
                                      </a:rPr>
                                    </m:ctrlPr>
                                  </m:accPr>
                                  <m:e>
                                    <m:r>
                                      <a:rPr lang="en-US" sz="800" b="1" i="1">
                                        <a:latin typeface="Cambria Math" panose="02040503050406030204" pitchFamily="18" charset="0"/>
                                      </a:rPr>
                                      <m:t>𝒚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n-US" sz="800" b="1" i="1">
                                    <a:latin typeface="Cambria Math" panose="02040503050406030204" pitchFamily="18" charset="0"/>
                                  </a:rPr>
                                  <m:t>𝒊</m:t>
                                </m:r>
                              </m:sub>
                            </m:sSub>
                            <m:d>
                              <m:dPr>
                                <m:ctrlPr>
                                  <a:rPr lang="en-US" sz="800" b="1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𝝃</m:t>
                                </m:r>
                              </m:e>
                            </m:d>
                            <m:r>
                              <a:rPr lang="en-US" sz="8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𝒅</m:t>
                            </m:r>
                            <m:r>
                              <a:rPr lang="en-US" sz="8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𝝃</m:t>
                            </m:r>
                            <m:r>
                              <a:rPr lang="en-US" sz="8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𝒅𝒑</m:t>
                            </m:r>
                            <m:r>
                              <a:rPr lang="en-US" sz="8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𝒚</m:t>
                                </m:r>
                              </m:e>
                              <m:sub>
                                <m: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𝒊</m:t>
                                </m:r>
                              </m:sub>
                            </m:sSub>
                            <m:d>
                              <m:dPr>
                                <m:ctrlP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𝟎</m:t>
                                </m:r>
                              </m:e>
                            </m:d>
                            <m:r>
                              <a:rPr lang="en-US" sz="8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acc>
                                  <m:accPr>
                                    <m:chr m:val="̇"/>
                                    <m:ctrlPr>
                                      <a:rPr lang="en-US" sz="800" b="1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accPr>
                                  <m:e>
                                    <m:r>
                                      <a:rPr lang="en-US" sz="800" b="1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𝒚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n-US" sz="8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𝒊</m:t>
                                </m:r>
                              </m:sub>
                            </m:sSub>
                          </m:e>
                        </m:nary>
                      </m:e>
                    </m:nary>
                    <m:d>
                      <m:dPr>
                        <m:ctrlPr>
                          <a:rPr lang="en-US" sz="8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800" b="1" i="0">
                            <a:latin typeface="Cambria Math" panose="02040503050406030204" pitchFamily="18" charset="0"/>
                          </a:rPr>
                          <m:t>𝟎</m:t>
                        </m:r>
                      </m:e>
                    </m:d>
                    <m:r>
                      <a:rPr lang="en-US" sz="800" b="1" i="0">
                        <a:latin typeface="Cambria Math" panose="02040503050406030204" pitchFamily="18" charset="0"/>
                      </a:rPr>
                      <m:t>𝐭</m:t>
                    </m:r>
                  </m:oMath>
                </m:oMathPara>
              </a14:m>
              <a:endParaRPr lang="ru-RU" sz="800" b="1"/>
            </a:p>
          </xdr:txBody>
        </xdr:sp>
      </mc:Choice>
      <mc:Fallback xmlns="">
        <xdr:sp macro="" textlink="">
          <xdr:nvSpPr>
            <xdr:cNvPr id="34" name="TextBox 33"/>
            <xdr:cNvSpPr txBox="1"/>
          </xdr:nvSpPr>
          <xdr:spPr>
            <a:xfrm>
              <a:off x="5937932" y="488194"/>
              <a:ext cx="3114354" cy="3852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𝒚_𝒊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= int</a:t>
              </a:r>
              <a:r>
                <a:rPr kumimoji="0" lang="ru-RU" sz="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kumimoji="0" lang="ru-RU" sz="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kumimoji="0" lang="ru-RU" sz="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𝐭)+</a:t>
              </a: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𝒚_𝒊 (𝟎)+𝒚 ̇_𝒊 (𝟎)𝒕</a:t>
              </a:r>
              <a:r>
                <a:rPr lang="en-US" sz="800" b="1" i="0">
                  <a:latin typeface="Cambria Math" panose="02040503050406030204" pitchFamily="18" charset="0"/>
                </a:rPr>
                <a:t>=</a:t>
              </a:r>
              <a:r>
                <a:rPr lang="ru-RU" sz="800" b="1" i="0">
                  <a:latin typeface="Cambria Math" panose="02040503050406030204" pitchFamily="18" charset="0"/>
                </a:rPr>
                <a:t>∫25_</a:t>
              </a:r>
              <a:r>
                <a:rPr lang="en-US" sz="800" b="1" i="0">
                  <a:latin typeface="Cambria Math" panose="02040503050406030204" pitchFamily="18" charset="0"/>
                </a:rPr>
                <a:t>𝟎</a:t>
              </a:r>
              <a:r>
                <a:rPr lang="ru-RU" sz="800" b="1" i="0">
                  <a:latin typeface="Cambria Math" panose="02040503050406030204" pitchFamily="18" charset="0"/>
                </a:rPr>
                <a:t>^</a:t>
              </a:r>
              <a:r>
                <a:rPr lang="en-US" sz="800" b="1" i="0">
                  <a:latin typeface="Cambria Math" panose="02040503050406030204" pitchFamily="18" charset="0"/>
                </a:rPr>
                <a:t>𝒕</a:t>
              </a:r>
              <a:r>
                <a:rPr lang="ru-RU" sz="800" b="1" i="0">
                  <a:latin typeface="Cambria Math" panose="02040503050406030204" pitchFamily="18" charset="0"/>
                </a:rPr>
                <a:t>▒∫25_</a:t>
              </a:r>
              <a:r>
                <a:rPr lang="en-US" sz="800" b="1" i="0">
                  <a:latin typeface="Cambria Math" panose="02040503050406030204" pitchFamily="18" charset="0"/>
                </a:rPr>
                <a:t>𝟎</a:t>
              </a:r>
              <a:r>
                <a:rPr lang="ru-RU" sz="800" b="1" i="0">
                  <a:latin typeface="Cambria Math" panose="02040503050406030204" pitchFamily="18" charset="0"/>
                </a:rPr>
                <a:t>^</a:t>
              </a:r>
              <a:r>
                <a:rPr lang="en-US" sz="800" b="1" i="0">
                  <a:latin typeface="Cambria Math" panose="02040503050406030204" pitchFamily="18" charset="0"/>
                </a:rPr>
                <a:t>𝒑</a:t>
              </a:r>
              <a:r>
                <a:rPr lang="ru-RU" sz="800" b="1" i="0">
                  <a:latin typeface="Cambria Math" panose="02040503050406030204" pitchFamily="18" charset="0"/>
                </a:rPr>
                <a:t>▒〖</a:t>
              </a:r>
              <a:r>
                <a:rPr lang="en-US" sz="800" b="1" i="0">
                  <a:latin typeface="Cambria Math" panose="02040503050406030204" pitchFamily="18" charset="0"/>
                </a:rPr>
                <a:t>𝒚</a:t>
              </a:r>
              <a:r>
                <a:rPr lang="ru-RU" sz="800" b="1" i="0">
                  <a:latin typeface="Cambria Math" panose="02040503050406030204" pitchFamily="18" charset="0"/>
                </a:rPr>
                <a:t> ̈_</a:t>
              </a:r>
              <a:r>
                <a:rPr lang="en-US" sz="800" b="1" i="0">
                  <a:latin typeface="Cambria Math" panose="02040503050406030204" pitchFamily="18" charset="0"/>
                </a:rPr>
                <a:t>𝒊 (</a:t>
              </a:r>
              <a:r>
                <a:rPr lang="en-US" sz="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𝝃)𝒅𝝃𝒅𝒑+𝒚_𝒊 (𝟎)+𝒚 ̇_𝒊</a:t>
              </a:r>
              <a:r>
                <a:rPr lang="ru-RU" sz="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〗</a:t>
              </a:r>
              <a:r>
                <a:rPr lang="en-US" sz="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sz="800" b="1" i="0">
                  <a:latin typeface="Cambria Math" panose="02040503050406030204" pitchFamily="18" charset="0"/>
                </a:rPr>
                <a:t>(𝟎)𝐭</a:t>
              </a:r>
              <a:endParaRPr lang="ru-RU" sz="800" b="1"/>
            </a:p>
          </xdr:txBody>
        </xdr:sp>
      </mc:Fallback>
    </mc:AlternateContent>
    <xdr:clientData/>
  </xdr:oneCellAnchor>
  <xdr:oneCellAnchor>
    <xdr:from>
      <xdr:col>27</xdr:col>
      <xdr:colOff>45805</xdr:colOff>
      <xdr:row>2</xdr:row>
      <xdr:rowOff>131423</xdr:rowOff>
    </xdr:from>
    <xdr:ext cx="81689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/>
            <xdr:cNvSpPr txBox="1"/>
          </xdr:nvSpPr>
          <xdr:spPr>
            <a:xfrm>
              <a:off x="9069042" y="582160"/>
              <a:ext cx="8168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b="0" i="1">
                        <a:latin typeface="Cambria Math" panose="02040503050406030204" pitchFamily="18" charset="0"/>
                      </a:rPr>
                      <m:t>Где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∈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  <m:r>
                          <a:rPr lang="ru-RU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;2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5" name="TextBox 34"/>
            <xdr:cNvSpPr txBox="1"/>
          </xdr:nvSpPr>
          <xdr:spPr>
            <a:xfrm>
              <a:off x="9069042" y="582160"/>
              <a:ext cx="81689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b="0" i="0">
                  <a:latin typeface="Cambria Math" panose="02040503050406030204" pitchFamily="18" charset="0"/>
                </a:rPr>
                <a:t>Где </a:t>
              </a:r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∈[1</a:t>
              </a:r>
              <a:r>
                <a:rPr lang="ru-RU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;2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]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22</xdr:col>
      <xdr:colOff>117726</xdr:colOff>
      <xdr:row>4</xdr:row>
      <xdr:rowOff>21405</xdr:rowOff>
    </xdr:from>
    <xdr:ext cx="365852" cy="1617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/>
            <xdr:cNvSpPr txBox="1"/>
          </xdr:nvSpPr>
          <xdr:spPr>
            <a:xfrm>
              <a:off x="11034841" y="871328"/>
              <a:ext cx="365852" cy="16176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Δ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kumimoji="0" lang="ru-RU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kumimoji="0" lang="en-US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𝒚</m:t>
                          </m:r>
                        </m:e>
                      </m:acc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endParaRPr kumimoji="0" lang="ru-RU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6" name="TextBox 35"/>
            <xdr:cNvSpPr txBox="1"/>
          </xdr:nvSpPr>
          <xdr:spPr>
            <a:xfrm>
              <a:off x="11034841" y="871328"/>
              <a:ext cx="365852" cy="16176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Δ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 ̇_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𝟏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endParaRPr kumimoji="0" lang="ru-RU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23</xdr:col>
      <xdr:colOff>96320</xdr:colOff>
      <xdr:row>4</xdr:row>
      <xdr:rowOff>26756</xdr:rowOff>
    </xdr:from>
    <xdr:ext cx="406686" cy="1556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/>
            <xdr:cNvSpPr txBox="1"/>
          </xdr:nvSpPr>
          <xdr:spPr>
            <a:xfrm>
              <a:off x="6670271" y="885707"/>
              <a:ext cx="406686" cy="15560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int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𝒚</m:t>
                      </m:r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endParaRPr kumimoji="0" lang="ru-RU" sz="9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7" name="TextBox 36"/>
            <xdr:cNvSpPr txBox="1"/>
          </xdr:nvSpPr>
          <xdr:spPr>
            <a:xfrm>
              <a:off x="6670271" y="885707"/>
              <a:ext cx="406686" cy="15560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int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𝟏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endParaRPr kumimoji="0" lang="ru-RU" sz="9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24</xdr:col>
      <xdr:colOff>91746</xdr:colOff>
      <xdr:row>4</xdr:row>
      <xdr:rowOff>35415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/>
            <xdr:cNvSpPr txBox="1"/>
          </xdr:nvSpPr>
          <xdr:spPr>
            <a:xfrm>
              <a:off x="12171178" y="892665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𝒚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8" name="TextBox 37"/>
            <xdr:cNvSpPr txBox="1"/>
          </xdr:nvSpPr>
          <xdr:spPr>
            <a:xfrm>
              <a:off x="12171178" y="892665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𝒚_𝟏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26</xdr:col>
      <xdr:colOff>128427</xdr:colOff>
      <xdr:row>4</xdr:row>
      <xdr:rowOff>32107</xdr:rowOff>
    </xdr:from>
    <xdr:ext cx="339164" cy="1583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/>
            <xdr:cNvSpPr txBox="1"/>
          </xdr:nvSpPr>
          <xdr:spPr>
            <a:xfrm>
              <a:off x="13420132" y="889357"/>
              <a:ext cx="339164" cy="158393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Δ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acc>
                        <m:accPr>
                          <m:chr m:val="̇"/>
                          <m:ctrlPr>
                            <a:rPr kumimoji="0" lang="ru-RU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kumimoji="0" lang="en-US" sz="900" b="1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𝒚</m:t>
                          </m:r>
                        </m:e>
                      </m:acc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𝟐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endParaRPr kumimoji="0" lang="ru-RU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9" name="TextBox 38"/>
            <xdr:cNvSpPr txBox="1"/>
          </xdr:nvSpPr>
          <xdr:spPr>
            <a:xfrm>
              <a:off x="13420132" y="889357"/>
              <a:ext cx="339164" cy="158393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l-GR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Δ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 ̇_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𝟐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endParaRPr kumimoji="0" lang="ru-RU" sz="9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27</xdr:col>
      <xdr:colOff>123076</xdr:colOff>
      <xdr:row>4</xdr:row>
      <xdr:rowOff>26756</xdr:rowOff>
    </xdr:from>
    <xdr:ext cx="406686" cy="1556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/>
            <xdr:cNvSpPr txBox="1"/>
          </xdr:nvSpPr>
          <xdr:spPr>
            <a:xfrm>
              <a:off x="9146313" y="885707"/>
              <a:ext cx="406686" cy="15560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int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𝒚</m:t>
                      </m:r>
                    </m:e>
                    <m:sub>
                      <m:r>
                        <a:rPr kumimoji="0" lang="en-US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𝟐</m:t>
                      </m:r>
                    </m:sub>
                  </m:sSub>
                  <m:d>
                    <m:dPr>
                      <m:ctrlPr>
                        <a:rPr kumimoji="0" lang="ru-RU" sz="900" b="1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900" b="1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𝐭</m:t>
                      </m:r>
                    </m:e>
                  </m:d>
                </m:oMath>
              </a14:m>
              <a:endParaRPr kumimoji="0" lang="ru-RU" sz="9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40" name="TextBox 39"/>
            <xdr:cNvSpPr txBox="1"/>
          </xdr:nvSpPr>
          <xdr:spPr>
            <a:xfrm>
              <a:off x="9146313" y="885707"/>
              <a:ext cx="406686" cy="155607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9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int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𝒚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𝟐</a:t>
              </a:r>
              <a:r>
                <a:rPr kumimoji="0" lang="ru-RU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kumimoji="0" lang="en-US" sz="9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𝐭)</a:t>
              </a:r>
              <a:endParaRPr kumimoji="0" lang="ru-RU" sz="9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9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28</xdr:col>
      <xdr:colOff>87174</xdr:colOff>
      <xdr:row>4</xdr:row>
      <xdr:rowOff>32106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/>
            <xdr:cNvSpPr txBox="1"/>
          </xdr:nvSpPr>
          <xdr:spPr>
            <a:xfrm>
              <a:off x="14591151" y="889356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𝒚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41" name="TextBox 40"/>
            <xdr:cNvSpPr txBox="1"/>
          </xdr:nvSpPr>
          <xdr:spPr>
            <a:xfrm>
              <a:off x="14591151" y="889356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𝒚_𝟐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9</xdr:col>
      <xdr:colOff>205154</xdr:colOff>
      <xdr:row>1</xdr:row>
      <xdr:rowOff>14654</xdr:rowOff>
    </xdr:from>
    <xdr:ext cx="483577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4198327" y="278423"/>
              <a:ext cx="48357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/>
                <a:t>(мм/</a:t>
              </a:r>
              <a14:m>
                <m:oMath xmlns:m="http://schemas.openxmlformats.org/officeDocument/2006/math">
                  <m:sSup>
                    <m:sSup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ru-RU" sz="1100" b="0" i="1">
                          <a:latin typeface="Cambria Math" panose="02040503050406030204" pitchFamily="18" charset="0"/>
                        </a:rPr>
                        <m:t>с</m:t>
                      </m:r>
                    </m:e>
                    <m:sup>
                      <m:r>
                        <a:rPr lang="ru-RU" sz="1100" b="0" i="1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</m:oMath>
              </a14:m>
              <a:r>
                <a:rPr lang="ru-RU" sz="1100"/>
                <a:t>)</a:t>
              </a:r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4198327" y="278423"/>
              <a:ext cx="48357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/>
                <a:t>(мм/</a:t>
              </a:r>
              <a:r>
                <a:rPr lang="ru-RU" sz="1100" b="0" i="0">
                  <a:latin typeface="Cambria Math" panose="02040503050406030204" pitchFamily="18" charset="0"/>
                </a:rPr>
                <a:t>с^2</a:t>
              </a:r>
              <a:r>
                <a:rPr lang="ru-RU" sz="1100"/>
                <a:t>)</a:t>
              </a:r>
            </a:p>
          </xdr:txBody>
        </xdr:sp>
      </mc:Fallback>
    </mc:AlternateContent>
    <xdr:clientData/>
  </xdr:oneCellAnchor>
  <xdr:oneCellAnchor>
    <xdr:from>
      <xdr:col>16</xdr:col>
      <xdr:colOff>468923</xdr:colOff>
      <xdr:row>0</xdr:row>
      <xdr:rowOff>73271</xdr:rowOff>
    </xdr:from>
    <xdr:ext cx="534866" cy="197826"/>
    <xdr:sp macro="" textlink="">
      <xdr:nvSpPr>
        <xdr:cNvPr id="44" name="TextBox 43"/>
        <xdr:cNvSpPr txBox="1"/>
      </xdr:nvSpPr>
      <xdr:spPr>
        <a:xfrm>
          <a:off x="8228135" y="73271"/>
          <a:ext cx="534866" cy="1978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ru-RU" sz="1100"/>
            <a:t> ( мм/с )</a:t>
          </a:r>
        </a:p>
        <a:p>
          <a:endParaRPr lang="ru-RU" sz="1100"/>
        </a:p>
      </xdr:txBody>
    </xdr:sp>
    <xdr:clientData/>
  </xdr:oneCellAnchor>
  <xdr:oneCellAnchor>
    <xdr:from>
      <xdr:col>25</xdr:col>
      <xdr:colOff>454270</xdr:colOff>
      <xdr:row>0</xdr:row>
      <xdr:rowOff>80596</xdr:rowOff>
    </xdr:from>
    <xdr:ext cx="534866" cy="197826"/>
    <xdr:sp macro="" textlink="">
      <xdr:nvSpPr>
        <xdr:cNvPr id="46" name="TextBox 45"/>
        <xdr:cNvSpPr txBox="1"/>
      </xdr:nvSpPr>
      <xdr:spPr>
        <a:xfrm>
          <a:off x="13195789" y="80596"/>
          <a:ext cx="534866" cy="1978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ru-RU" sz="1100"/>
            <a:t> ( мм/с )</a:t>
          </a:r>
        </a:p>
        <a:p>
          <a:endParaRPr lang="ru-RU" sz="1100"/>
        </a:p>
      </xdr:txBody>
    </xdr:sp>
    <xdr:clientData/>
  </xdr:oneCellAnchor>
  <xdr:oneCellAnchor>
    <xdr:from>
      <xdr:col>19</xdr:col>
      <xdr:colOff>128954</xdr:colOff>
      <xdr:row>1</xdr:row>
      <xdr:rowOff>26377</xdr:rowOff>
    </xdr:from>
    <xdr:ext cx="35400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9712569" y="290146"/>
              <a:ext cx="3540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ru-RU" sz="1100" b="0" i="1">
                      <a:latin typeface="Cambria Math" panose="02040503050406030204" pitchFamily="18" charset="0"/>
                    </a:rPr>
                    <m:t>( мм</m:t>
                  </m:r>
                </m:oMath>
              </a14:m>
              <a:r>
                <a:rPr lang="ru-RU" sz="1100"/>
                <a:t> )</a:t>
              </a: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9712569" y="290146"/>
              <a:ext cx="3540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b="0" i="0">
                  <a:latin typeface="Cambria Math" panose="02040503050406030204" pitchFamily="18" charset="0"/>
                </a:rPr>
                <a:t>( мм</a:t>
              </a:r>
              <a:r>
                <a:rPr lang="ru-RU" sz="1100"/>
                <a:t> )</a:t>
              </a:r>
            </a:p>
          </xdr:txBody>
        </xdr:sp>
      </mc:Fallback>
    </mc:AlternateContent>
    <xdr:clientData/>
  </xdr:oneCellAnchor>
  <xdr:oneCellAnchor>
    <xdr:from>
      <xdr:col>28</xdr:col>
      <xdr:colOff>131885</xdr:colOff>
      <xdr:row>1</xdr:row>
      <xdr:rowOff>21981</xdr:rowOff>
    </xdr:from>
    <xdr:ext cx="35400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/>
            <xdr:cNvSpPr txBox="1"/>
          </xdr:nvSpPr>
          <xdr:spPr>
            <a:xfrm>
              <a:off x="14697808" y="285750"/>
              <a:ext cx="3540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ru-RU" sz="1100" b="0" i="1">
                      <a:latin typeface="Cambria Math" panose="02040503050406030204" pitchFamily="18" charset="0"/>
                    </a:rPr>
                    <m:t>( мм</m:t>
                  </m:r>
                </m:oMath>
              </a14:m>
              <a:r>
                <a:rPr lang="ru-RU" sz="1100"/>
                <a:t> )</a:t>
              </a:r>
            </a:p>
          </xdr:txBody>
        </xdr:sp>
      </mc:Choice>
      <mc:Fallback xmlns="">
        <xdr:sp macro="" textlink="">
          <xdr:nvSpPr>
            <xdr:cNvPr id="48" name="TextBox 47"/>
            <xdr:cNvSpPr txBox="1"/>
          </xdr:nvSpPr>
          <xdr:spPr>
            <a:xfrm>
              <a:off x="14697808" y="285750"/>
              <a:ext cx="3540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b="0" i="0">
                  <a:latin typeface="Cambria Math" panose="02040503050406030204" pitchFamily="18" charset="0"/>
                </a:rPr>
                <a:t>( мм</a:t>
              </a:r>
              <a:r>
                <a:rPr lang="ru-RU" sz="1100"/>
                <a:t> )</a:t>
              </a:r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529643</xdr:colOff>
      <xdr:row>0</xdr:row>
      <xdr:rowOff>181242</xdr:rowOff>
    </xdr:from>
    <xdr:ext cx="2324744" cy="2850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2421228" y="181242"/>
              <a:ext cx="2324744" cy="285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ru-RU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𝜑</m:t>
                      </m:r>
                    </m:e>
                    <m:sub>
                      <m:r>
                        <a:rPr lang="ru-RU" sz="1100" b="0" i="1">
                          <a:latin typeface="Cambria Math" panose="02040503050406030204" pitchFamily="18" charset="0"/>
                        </a:rPr>
                        <m:t>12</m:t>
                      </m:r>
                    </m:sub>
                  </m:sSub>
                </m:oMath>
              </a14:m>
              <a:r>
                <a:rPr lang="en-US" sz="1100"/>
                <a:t>(t)</a:t>
              </a:r>
              <a:r>
                <a:rPr lang="ru-RU" sz="1100"/>
                <a:t>=</a:t>
              </a:r>
              <a:r>
                <a:rPr lang="en-US" sz="1100"/>
                <a:t>arcsin(</a:t>
              </a:r>
              <a14:m>
                <m:oMath xmlns:m="http://schemas.openxmlformats.org/officeDocument/2006/math">
                  <m:f>
                    <m:f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𝑦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2(</m:t>
                          </m:r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𝑡</m:t>
                          </m:r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)−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𝑦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1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𝑡</m:t>
                          </m:r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)</m:t>
                          </m:r>
                        </m:sub>
                      </m:sSub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𝑙</m:t>
                      </m:r>
                    </m:den>
                  </m:f>
                </m:oMath>
              </a14:m>
              <a:r>
                <a:rPr lang="en-US" sz="1100"/>
                <a:t>)=arctg(</a:t>
              </a:r>
              <a14:m>
                <m:oMath xmlns:m="http://schemas.openxmlformats.org/officeDocument/2006/math">
                  <m:f>
                    <m:f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𝑦</m:t>
                          </m:r>
                        </m:e>
                        <m:sub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2(</m:t>
                          </m:r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)−</m:t>
                          </m:r>
                          <m:sSub>
                            <m:sSubPr>
                              <m:ctrlPr>
                                <a:rPr kumimoji="0" lang="en-US" sz="11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kumimoji="0" lang="en-US" sz="11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e>
                            <m:sub>
                              <m:r>
                                <a:rPr kumimoji="0" lang="en-US" sz="11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</m:t>
                              </m:r>
                            </m:sub>
                          </m:sSub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𝑥</m:t>
                          </m:r>
                        </m:e>
                        <m:sub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2(</m:t>
                          </m:r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)−</m:t>
                          </m:r>
                          <m:sSub>
                            <m:sSubPr>
                              <m:ctrlPr>
                                <a:rPr kumimoji="0" lang="en-US" sz="11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kumimoji="0" lang="en-US" sz="11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𝑥</m:t>
                              </m:r>
                            </m:e>
                            <m:sub>
                              <m:r>
                                <a:rPr kumimoji="0" lang="en-US" sz="11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</m:t>
                              </m:r>
                            </m:sub>
                          </m:sSub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  <m:r>
                            <a:rPr kumimoji="0" lang="en-US" sz="11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sub>
                      </m:sSub>
                    </m:den>
                  </m:f>
                </m:oMath>
              </a14:m>
              <a:r>
                <a:rPr lang="en-US" sz="1100"/>
                <a:t>)</a:t>
              </a:r>
              <a:endParaRPr lang="ru-RU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421228" y="181242"/>
              <a:ext cx="2324744" cy="285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𝜑_</a:t>
              </a:r>
              <a:r>
                <a:rPr lang="ru-RU" sz="1100" b="0" i="0">
                  <a:latin typeface="Cambria Math" panose="02040503050406030204" pitchFamily="18" charset="0"/>
                </a:rPr>
                <a:t>12</a:t>
              </a:r>
              <a:r>
                <a:rPr lang="en-US" sz="1100"/>
                <a:t>(t)</a:t>
              </a:r>
              <a:r>
                <a:rPr lang="ru-RU" sz="1100"/>
                <a:t>=</a:t>
              </a:r>
              <a:r>
                <a:rPr lang="en-US" sz="1100"/>
                <a:t>arcsin(</a:t>
              </a:r>
              <a:r>
                <a:rPr lang="en-US" sz="1100" b="0" i="0">
                  <a:latin typeface="Cambria Math" panose="02040503050406030204" pitchFamily="18" charset="0"/>
                </a:rPr>
                <a:t>𝑦_(2(𝑡)−𝑦_1 (𝑡))/𝑙</a:t>
              </a:r>
              <a:r>
                <a:rPr lang="en-US" sz="1100"/>
                <a:t>)=arctg(</a:t>
              </a:r>
              <a:r>
                <a:rPr kumimoji="0" lang="en-US" sz="11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𝑦_(2(𝑡)−𝑦_1 (𝑡))/𝑥_(2(𝑡)−𝑥_1 (𝑡)) </a:t>
              </a:r>
              <a:r>
                <a:rPr lang="en-US" sz="1100"/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</xdr:col>
      <xdr:colOff>149833</xdr:colOff>
      <xdr:row>1</xdr:row>
      <xdr:rowOff>37458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760238" y="654571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760238" y="654571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𝒙_𝟏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2</xdr:col>
      <xdr:colOff>123076</xdr:colOff>
      <xdr:row>1</xdr:row>
      <xdr:rowOff>26756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343886" y="643869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𝒚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343886" y="643869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𝒚_𝟏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5</xdr:col>
      <xdr:colOff>149833</xdr:colOff>
      <xdr:row>1</xdr:row>
      <xdr:rowOff>37458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2651822" y="654571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2651822" y="654571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𝒙_𝟐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6</xdr:col>
      <xdr:colOff>123076</xdr:colOff>
      <xdr:row>1</xdr:row>
      <xdr:rowOff>26756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3235470" y="643869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𝒚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3235470" y="643869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𝒚_𝟐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9</xdr:col>
      <xdr:colOff>44222</xdr:colOff>
      <xdr:row>0</xdr:row>
      <xdr:rowOff>616340</xdr:rowOff>
    </xdr:from>
    <xdr:ext cx="24910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4437796" y="616340"/>
              <a:ext cx="2491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12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4437796" y="616340"/>
              <a:ext cx="2491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ru-RU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𝜑_</a:t>
              </a:r>
              <a:r>
                <a:rPr lang="en-US" sz="1100" b="0" i="0">
                  <a:latin typeface="Cambria Math" panose="02040503050406030204" pitchFamily="18" charset="0"/>
                </a:rPr>
                <a:t>12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12</xdr:col>
      <xdr:colOff>149833</xdr:colOff>
      <xdr:row>1</xdr:row>
      <xdr:rowOff>37458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/>
            <xdr:cNvSpPr txBox="1"/>
          </xdr:nvSpPr>
          <xdr:spPr>
            <a:xfrm>
              <a:off x="759861" y="438792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𝟑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759861" y="438792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𝒙_𝟑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13</xdr:col>
      <xdr:colOff>123076</xdr:colOff>
      <xdr:row>1</xdr:row>
      <xdr:rowOff>26756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/>
            <xdr:cNvSpPr txBox="1"/>
          </xdr:nvSpPr>
          <xdr:spPr>
            <a:xfrm>
              <a:off x="1343132" y="428090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𝒚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𝟑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1343132" y="428090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𝒚_𝟑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16</xdr:col>
      <xdr:colOff>149833</xdr:colOff>
      <xdr:row>1</xdr:row>
      <xdr:rowOff>37458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/>
            <xdr:cNvSpPr txBox="1"/>
          </xdr:nvSpPr>
          <xdr:spPr>
            <a:xfrm>
              <a:off x="759861" y="438792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𝟒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759861" y="438792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𝒙_𝟒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17</xdr:col>
      <xdr:colOff>123076</xdr:colOff>
      <xdr:row>1</xdr:row>
      <xdr:rowOff>26756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/>
            <xdr:cNvSpPr txBox="1"/>
          </xdr:nvSpPr>
          <xdr:spPr>
            <a:xfrm>
              <a:off x="1343132" y="428090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𝒚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𝟒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1343132" y="428090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𝒚_𝟒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20</xdr:col>
      <xdr:colOff>149833</xdr:colOff>
      <xdr:row>1</xdr:row>
      <xdr:rowOff>37458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759861" y="438792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𝟓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759861" y="438792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𝒙_𝟓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21</xdr:col>
      <xdr:colOff>123076</xdr:colOff>
      <xdr:row>1</xdr:row>
      <xdr:rowOff>26756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/>
            <xdr:cNvSpPr txBox="1"/>
          </xdr:nvSpPr>
          <xdr:spPr>
            <a:xfrm>
              <a:off x="1343132" y="428090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𝒚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𝟓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>
              <a:off x="1343132" y="428090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𝒚_𝟓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24</xdr:col>
      <xdr:colOff>149833</xdr:colOff>
      <xdr:row>1</xdr:row>
      <xdr:rowOff>37458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/>
            <xdr:cNvSpPr txBox="1"/>
          </xdr:nvSpPr>
          <xdr:spPr>
            <a:xfrm>
              <a:off x="759861" y="438792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𝟔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8" name="TextBox 17"/>
            <xdr:cNvSpPr txBox="1"/>
          </xdr:nvSpPr>
          <xdr:spPr>
            <a:xfrm>
              <a:off x="759861" y="438792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𝒙_𝟔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25</xdr:col>
      <xdr:colOff>123076</xdr:colOff>
      <xdr:row>1</xdr:row>
      <xdr:rowOff>26756</xdr:rowOff>
    </xdr:from>
    <xdr:ext cx="321067" cy="1391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/>
            <xdr:cNvSpPr txBox="1"/>
          </xdr:nvSpPr>
          <xdr:spPr>
            <a:xfrm>
              <a:off x="1343132" y="428090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𝒚</m:t>
                        </m:r>
                      </m:e>
                      <m:sub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𝟔</m:t>
                        </m:r>
                      </m:sub>
                    </m:sSub>
                    <m:d>
                      <m:dPr>
                        <m:ctrlP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800" b="1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𝒕</m:t>
                        </m:r>
                      </m:e>
                    </m:d>
                    <m:r>
                      <m:rPr>
                        <m:nor/>
                      </m:rPr>
                      <a:rPr kumimoji="0" lang="en-US" sz="800" b="1" i="0" u="none" strike="noStrike" kern="0" cap="none" spc="0" normalizeH="0" baseline="0" noProof="0" smtClean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libri" panose="020F0502020204030204"/>
                        <a:ea typeface="+mn-ea"/>
                        <a:cs typeface="+mn-cs"/>
                      </a:rPr>
                      <m:t> </m:t>
                    </m:r>
                  </m:oMath>
                </m:oMathPara>
              </a14:m>
              <a:endParaRPr kumimoji="0" lang="ru-RU" sz="800" b="1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9" name="TextBox 18"/>
            <xdr:cNvSpPr txBox="1"/>
          </xdr:nvSpPr>
          <xdr:spPr>
            <a:xfrm>
              <a:off x="1343132" y="428090"/>
              <a:ext cx="321067" cy="139129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1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𝒚_𝟔 (𝒕)</a:t>
              </a:r>
              <a:r>
                <a:rPr kumimoji="0" lang="en-US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kumimoji="0" lang="ru-RU" sz="800" b="1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"</a:t>
              </a:r>
            </a:p>
          </xdr:txBody>
        </xdr:sp>
      </mc:Fallback>
    </mc:AlternateContent>
    <xdr:clientData/>
  </xdr:oneCellAnchor>
  <xdr:oneCellAnchor>
    <xdr:from>
      <xdr:col>10</xdr:col>
      <xdr:colOff>87085</xdr:colOff>
      <xdr:row>0</xdr:row>
      <xdr:rowOff>43350</xdr:rowOff>
    </xdr:from>
    <xdr:ext cx="1885951" cy="250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5063412" y="43350"/>
              <a:ext cx="1885951" cy="250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ru-RU" sz="8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800" b="0" i="1">
                          <a:latin typeface="Cambria Math" panose="02040503050406030204" pitchFamily="18" charset="0"/>
                        </a:rPr>
                        <m:t>𝑥</m:t>
                      </m:r>
                    </m:e>
                    <m:sub>
                      <m:r>
                        <a:rPr lang="en-US" sz="800" b="0" i="1">
                          <a:latin typeface="Cambria Math" panose="02040503050406030204" pitchFamily="18" charset="0"/>
                        </a:rPr>
                        <m:t>3</m:t>
                      </m:r>
                    </m:sub>
                  </m:sSub>
                </m:oMath>
              </a14:m>
              <a:r>
                <a:rPr lang="en-US" sz="800"/>
                <a:t>(t)=</a:t>
              </a:r>
              <a14:m>
                <m:oMath xmlns:m="http://schemas.openxmlformats.org/officeDocument/2006/math">
                  <m:sSub>
                    <m:sSubPr>
                      <m:ctrlPr>
                        <a:rPr lang="ru-RU" sz="8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8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lang="en-US" sz="8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</m:oMath>
              </a14:m>
              <a:r>
                <a:rPr lang="en-US" sz="8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(t)+</a:t>
              </a:r>
              <a14:m>
                <m:oMath xmlns:m="http://schemas.openxmlformats.org/officeDocument/2006/math">
                  <m:rad>
                    <m:radPr>
                      <m:degHide m:val="on"/>
                      <m:ctrlPr>
                        <a:rPr lang="en-US" sz="8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sSup>
                        <m:sSupPr>
                          <m:ctrlPr>
                            <a:rPr lang="en-US" sz="8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8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r>
                            <a:rPr lang="en-US" sz="8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𝑙</m:t>
                          </m:r>
                          <m:r>
                            <a:rPr lang="en-US" sz="8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</m:t>
                          </m:r>
                          <m:r>
                            <a:rPr lang="en-US" sz="8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𝑏</m:t>
                          </m:r>
                          <m:r>
                            <a:rPr lang="en-US" sz="8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8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  <m:r>
                        <a:rPr lang="en-US" sz="8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sSup>
                        <m:sSupPr>
                          <m:ctrlPr>
                            <a:rPr lang="en-US" sz="8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8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f>
                            <m:fPr>
                              <m:ctrlPr>
                                <a:rPr lang="en-US" sz="8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8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</m:t>
                              </m:r>
                            </m:num>
                            <m:den>
                              <m:r>
                                <a:rPr lang="en-US" sz="8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2</m:t>
                              </m:r>
                            </m:den>
                          </m:f>
                          <m:r>
                            <a:rPr lang="en-US" sz="8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8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e>
                  </m:rad>
                  <m:func>
                    <m:funcPr>
                      <m:ctrlPr>
                        <a:rPr lang="en-US" sz="8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80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cos</m:t>
                      </m:r>
                    </m:fName>
                    <m:e>
                      <m:r>
                        <a:rPr lang="en-US" sz="8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sSub>
                        <m:sSubPr>
                          <m:ctrlPr>
                            <a:rPr lang="en-US" sz="8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8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𝜑</m:t>
                          </m:r>
                        </m:e>
                        <m:sub>
                          <m:r>
                            <a:rPr lang="en-US" sz="8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12</m:t>
                          </m:r>
                        </m:sub>
                      </m:sSub>
                      <m:d>
                        <m:dPr>
                          <m:ctrlPr>
                            <a:rPr lang="en-US" sz="8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8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e>
                      </m:d>
                      <m:r>
                        <a:rPr lang="en-US" sz="8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8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𝛼</m:t>
                      </m:r>
                      <m:r>
                        <a:rPr lang="en-US" sz="8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</m:func>
                </m:oMath>
              </a14:m>
              <a:endParaRPr lang="ru-RU" sz="8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5063412" y="43350"/>
              <a:ext cx="1885951" cy="250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800" b="0" i="0">
                  <a:latin typeface="Cambria Math" panose="02040503050406030204" pitchFamily="18" charset="0"/>
                </a:rPr>
                <a:t>𝑥</a:t>
              </a:r>
              <a:r>
                <a:rPr lang="ru-RU" sz="800" b="0" i="0">
                  <a:latin typeface="Cambria Math" panose="02040503050406030204" pitchFamily="18" charset="0"/>
                </a:rPr>
                <a:t>_</a:t>
              </a:r>
              <a:r>
                <a:rPr lang="en-US" sz="800" b="0" i="0">
                  <a:latin typeface="Cambria Math" panose="02040503050406030204" pitchFamily="18" charset="0"/>
                </a:rPr>
                <a:t>3</a:t>
              </a:r>
              <a:r>
                <a:rPr lang="en-US" sz="800"/>
                <a:t>(t)=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ru-RU" sz="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en-US" sz="8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(t)+</a:t>
              </a:r>
              <a:r>
                <a:rPr lang="en-US" sz="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√(〖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(𝑙+𝑏)〗^</a:t>
              </a:r>
              <a:r>
                <a:rPr lang="en-US" sz="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2+〖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(ℎ/2)〗^</a:t>
              </a:r>
              <a:r>
                <a:rPr lang="en-US" sz="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2 )  cos⁡〖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𝜑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_12 (𝑡)+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</a:t>
              </a:r>
              <a:r>
                <a:rPr lang="en-US" sz="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)〗</a:t>
              </a:r>
              <a:endParaRPr lang="ru-RU" sz="800"/>
            </a:p>
          </xdr:txBody>
        </xdr:sp>
      </mc:Fallback>
    </mc:AlternateContent>
    <xdr:clientData/>
  </xdr:oneCellAnchor>
  <xdr:oneCellAnchor>
    <xdr:from>
      <xdr:col>10</xdr:col>
      <xdr:colOff>97194</xdr:colOff>
      <xdr:row>0</xdr:row>
      <xdr:rowOff>315881</xdr:rowOff>
    </xdr:from>
    <xdr:ext cx="1880702" cy="250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5073521" y="315881"/>
              <a:ext cx="1880702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𝑦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𝑦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14:m>
                <m:oMath xmlns:m="http://schemas.openxmlformats.org/officeDocument/2006/math">
                  <m:rad>
                    <m:radPr>
                      <m:degHide m:val="on"/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𝑙</m:t>
                          </m:r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</m:t>
                          </m:r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𝑏</m:t>
                          </m:r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f>
                            <m:fPr>
                              <m:ctrlP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</m:t>
                              </m:r>
                            </m:num>
                            <m:den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2</m:t>
                              </m:r>
                            </m:den>
                          </m:f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e>
                  </m:rad>
                  <m:func>
                    <m:funcPr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𝑠𝑖𝑛</m:t>
                      </m:r>
                    </m:fName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sSub>
                        <m:sSub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𝜑</m:t>
                          </m:r>
                        </m:e>
                        <m:sub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12</m:t>
                          </m:r>
                        </m:sub>
                      </m:sSub>
                      <m:d>
                        <m:d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e>
                      </m:d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𝛼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</m:func>
                </m:oMath>
              </a14:m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5073521" y="315881"/>
              <a:ext cx="1880702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√(〖(𝑙+𝑏)〗^2+〖(ℎ/2)〗^2 )  𝑠𝑖𝑛⁡〖(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𝜑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_12 (𝑡)+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)〗</a:t>
              </a:r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14</xdr:col>
      <xdr:colOff>92334</xdr:colOff>
      <xdr:row>0</xdr:row>
      <xdr:rowOff>38878</xdr:rowOff>
    </xdr:from>
    <xdr:ext cx="1885951" cy="250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/>
            <xdr:cNvSpPr txBox="1"/>
          </xdr:nvSpPr>
          <xdr:spPr>
            <a:xfrm>
              <a:off x="7012538" y="38878"/>
              <a:ext cx="1885951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4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14:m>
                <m:oMath xmlns:m="http://schemas.openxmlformats.org/officeDocument/2006/math">
                  <m:rad>
                    <m:radPr>
                      <m:degHide m:val="on"/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𝑙</m:t>
                          </m:r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</m:t>
                          </m:r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𝑏</m:t>
                          </m:r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f>
                            <m:fPr>
                              <m:ctrlP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</m:t>
                              </m:r>
                            </m:num>
                            <m:den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2</m:t>
                              </m:r>
                            </m:den>
                          </m:f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e>
                  </m:rad>
                  <m:func>
                    <m:funcPr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kumimoji="0" lang="en-US" sz="800" b="0" i="0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cos</m:t>
                      </m:r>
                    </m:fName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sSub>
                        <m:sSub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𝜑</m:t>
                          </m:r>
                        </m:e>
                        <m:sub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12</m:t>
                          </m:r>
                        </m:sub>
                      </m:sSub>
                      <m:d>
                        <m:d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e>
                      </m:d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𝛼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</m:func>
                </m:oMath>
              </a14:m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7012538" y="38878"/>
              <a:ext cx="1885951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4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𝑥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√(〖(𝑙+𝑏)〗^2+〖(ℎ/2)〗^2 )  cos⁡〖(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𝜑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_12 (𝑡)−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)〗</a:t>
              </a:r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14</xdr:col>
      <xdr:colOff>92334</xdr:colOff>
      <xdr:row>0</xdr:row>
      <xdr:rowOff>296442</xdr:rowOff>
    </xdr:from>
    <xdr:ext cx="1880702" cy="250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7012538" y="296442"/>
              <a:ext cx="1880702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𝑦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4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𝑦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14:m>
                <m:oMath xmlns:m="http://schemas.openxmlformats.org/officeDocument/2006/math">
                  <m:rad>
                    <m:radPr>
                      <m:degHide m:val="on"/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𝑙</m:t>
                          </m:r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</m:t>
                          </m:r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𝑏</m:t>
                          </m:r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f>
                            <m:fPr>
                              <m:ctrlP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</m:t>
                              </m:r>
                            </m:num>
                            <m:den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2</m:t>
                              </m:r>
                            </m:den>
                          </m:f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e>
                  </m:rad>
                  <m:func>
                    <m:funcPr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𝑠𝑖𝑛</m:t>
                      </m:r>
                    </m:fName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sSub>
                        <m:sSub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𝜑</m:t>
                          </m:r>
                        </m:e>
                        <m:sub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12</m:t>
                          </m:r>
                        </m:sub>
                      </m:sSub>
                      <m:d>
                        <m:d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e>
                      </m:d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𝛼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</m:func>
                </m:oMath>
              </a14:m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7012538" y="296442"/>
              <a:ext cx="1880702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4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√(〖(𝑙+𝑏)〗^2+〖(ℎ/2)〗^2 )  𝑠𝑖𝑛⁡〖(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𝜑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_12 (𝑡)−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)〗</a:t>
              </a:r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18</xdr:col>
      <xdr:colOff>106913</xdr:colOff>
      <xdr:row>0</xdr:row>
      <xdr:rowOff>29159</xdr:rowOff>
    </xdr:from>
    <xdr:ext cx="1885951" cy="250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8970995" y="29159"/>
              <a:ext cx="1885951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5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14:m>
                <m:oMath xmlns:m="http://schemas.openxmlformats.org/officeDocument/2006/math">
                  <m:rad>
                    <m:radPr>
                      <m:degHide m:val="on"/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f>
                            <m:fPr>
                              <m:ctrlP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</m:t>
                              </m:r>
                            </m:num>
                            <m:den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2</m:t>
                              </m:r>
                            </m:den>
                          </m:f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e>
                  </m:rad>
                  <m:func>
                    <m:funcPr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kumimoji="0" lang="en-US" sz="800" b="0" i="0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cos</m:t>
                      </m:r>
                    </m:fName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sSub>
                        <m:sSub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𝜑</m:t>
                          </m:r>
                        </m:e>
                        <m:sub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12</m:t>
                          </m:r>
                        </m:sub>
                      </m:sSub>
                      <m:d>
                        <m:d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e>
                      </m:d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𝜋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+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𝛽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</m:func>
                </m:oMath>
              </a14:m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8970995" y="29159"/>
              <a:ext cx="1885951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5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𝑥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√(𝑎^2+〖(ℎ/2)〗^2 )  cos⁡〖(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𝜑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_12 (𝑡)+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𝜋+𝛽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)〗</a:t>
              </a:r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18</xdr:col>
      <xdr:colOff>116632</xdr:colOff>
      <xdr:row>0</xdr:row>
      <xdr:rowOff>277002</xdr:rowOff>
    </xdr:from>
    <xdr:ext cx="1885951" cy="250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8980714" y="277002"/>
              <a:ext cx="1885951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𝑦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5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𝑦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14:m>
                <m:oMath xmlns:m="http://schemas.openxmlformats.org/officeDocument/2006/math">
                  <m:rad>
                    <m:radPr>
                      <m:degHide m:val="on"/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f>
                            <m:fPr>
                              <m:ctrlP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</m:t>
                              </m:r>
                            </m:num>
                            <m:den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2</m:t>
                              </m:r>
                            </m:den>
                          </m:f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e>
                  </m:rad>
                  <m:func>
                    <m:funcPr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kumimoji="0" lang="en-US" sz="800" b="0" i="0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sin</m:t>
                      </m:r>
                    </m:fName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sSub>
                        <m:sSub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𝜑</m:t>
                          </m:r>
                        </m:e>
                        <m:sub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12</m:t>
                          </m:r>
                        </m:sub>
                      </m:sSub>
                      <m:d>
                        <m:d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e>
                      </m:d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𝜋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+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𝛽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</m:func>
                </m:oMath>
              </a14:m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8980714" y="277002"/>
              <a:ext cx="1885951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5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√(𝑎^2+〖(ℎ/2)〗^2 )  sin⁡〖(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𝜑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_12 (𝑡)+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𝜋+𝛽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)〗</a:t>
              </a:r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22</xdr:col>
      <xdr:colOff>102053</xdr:colOff>
      <xdr:row>0</xdr:row>
      <xdr:rowOff>34018</xdr:rowOff>
    </xdr:from>
    <xdr:ext cx="1885951" cy="250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/>
            <xdr:cNvSpPr txBox="1"/>
          </xdr:nvSpPr>
          <xdr:spPr>
            <a:xfrm>
              <a:off x="10919732" y="34018"/>
              <a:ext cx="1885951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14:m>
                <m:oMath xmlns:m="http://schemas.openxmlformats.org/officeDocument/2006/math">
                  <m:rad>
                    <m:radPr>
                      <m:degHide m:val="on"/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f>
                            <m:fPr>
                              <m:ctrlP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</m:t>
                              </m:r>
                            </m:num>
                            <m:den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2</m:t>
                              </m:r>
                            </m:den>
                          </m:f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e>
                  </m:rad>
                  <m:func>
                    <m:funcPr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kumimoji="0" lang="en-US" sz="800" b="0" i="0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cos</m:t>
                      </m:r>
                    </m:fName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sSub>
                        <m:sSub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𝜑</m:t>
                          </m:r>
                        </m:e>
                        <m:sub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12</m:t>
                          </m:r>
                        </m:sub>
                      </m:sSub>
                      <m:d>
                        <m:d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e>
                      </m:d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𝜋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𝛽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</m:func>
                </m:oMath>
              </a14:m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10919732" y="34018"/>
              <a:ext cx="1885951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6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𝑥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√(𝑎^2+〖(ℎ/2)〗^2 )  cos⁡〖(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𝜑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_12 (𝑡)+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𝜋−𝛽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)〗</a:t>
              </a:r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22</xdr:col>
      <xdr:colOff>106913</xdr:colOff>
      <xdr:row>0</xdr:row>
      <xdr:rowOff>272143</xdr:rowOff>
    </xdr:from>
    <xdr:ext cx="1885951" cy="2505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/>
            <xdr:cNvSpPr txBox="1"/>
          </xdr:nvSpPr>
          <xdr:spPr>
            <a:xfrm>
              <a:off x="10924592" y="272143"/>
              <a:ext cx="1885951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𝑦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14:m>
                <m:oMath xmlns:m="http://schemas.openxmlformats.org/officeDocument/2006/math">
                  <m:sSub>
                    <m:sSubPr>
                      <m:ctrlPr>
                        <a:rPr kumimoji="0" lang="ru-RU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𝑦</m:t>
                      </m:r>
                    </m:e>
                    <m:sub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</m:oMath>
              </a14:m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14:m>
                <m:oMath xmlns:m="http://schemas.openxmlformats.org/officeDocument/2006/math">
                  <m:rad>
                    <m:radPr>
                      <m:degHide m:val="on"/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sSup>
                        <m:sSup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f>
                            <m:fPr>
                              <m:ctrlP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</m:t>
                              </m:r>
                            </m:num>
                            <m:den>
                              <m:r>
                                <a:rPr kumimoji="0" lang="en-US" sz="8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2</m:t>
                              </m:r>
                            </m:den>
                          </m:f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e>
                  </m:rad>
                  <m:func>
                    <m:funcPr>
                      <m:ctrlP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kumimoji="0" lang="en-US" sz="800" b="0" i="0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sin</m:t>
                      </m:r>
                    </m:fName>
                    <m:e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sSub>
                        <m:sSub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𝜑</m:t>
                          </m:r>
                        </m:e>
                        <m:sub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12</m:t>
                          </m:r>
                        </m:sub>
                      </m:sSub>
                      <m:d>
                        <m:dPr>
                          <m:ctrlP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kumimoji="0" lang="en-US" sz="8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e>
                      </m:d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𝜋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𝛽</m:t>
                      </m:r>
                      <m:r>
                        <a:rPr kumimoji="0" lang="en-US" sz="8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</m:func>
                </m:oMath>
              </a14:m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7" name="TextBox 26"/>
            <xdr:cNvSpPr txBox="1"/>
          </xdr:nvSpPr>
          <xdr:spPr>
            <a:xfrm>
              <a:off x="10924592" y="272143"/>
              <a:ext cx="1885951" cy="25051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6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(t)=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kumimoji="0" lang="ru-RU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+mn-lt"/>
                  <a:ea typeface="+mn-ea"/>
                  <a:cs typeface="+mn-cs"/>
                </a:rPr>
                <a:t>_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(t)+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√(𝑎^2+〖(ℎ/2)〗^2 )  sin⁡〖(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𝜑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_12 (𝑡)+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𝜋−𝛽</a:t>
              </a:r>
              <a:r>
                <a:rPr kumimoji="0" lang="en-US" sz="800" b="0" i="0" u="none" strike="noStrike" kern="0" cap="none" spc="0" normalizeH="0" baseline="0" noProof="0" smtClean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)〗</a:t>
              </a:r>
              <a:endParaRPr kumimoji="0" lang="ru-RU" sz="800" b="0" i="0" u="none" strike="noStrike" kern="0" cap="none" spc="0" normalizeH="0" baseline="0" noProof="0" smtClean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59</xdr:col>
      <xdr:colOff>27215</xdr:colOff>
      <xdr:row>0</xdr:row>
      <xdr:rowOff>501998</xdr:rowOff>
    </xdr:from>
    <xdr:to>
      <xdr:col>69</xdr:col>
      <xdr:colOff>104672</xdr:colOff>
      <xdr:row>21</xdr:row>
      <xdr:rowOff>41867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415146</xdr:colOff>
      <xdr:row>0</xdr:row>
      <xdr:rowOff>428074</xdr:rowOff>
    </xdr:from>
    <xdr:to>
      <xdr:col>41</xdr:col>
      <xdr:colOff>602507</xdr:colOff>
      <xdr:row>24</xdr:row>
      <xdr:rowOff>84390</xdr:rowOff>
    </xdr:to>
    <xdr:graphicFrame macro="">
      <xdr:nvGraphicFramePr>
        <xdr:cNvPr id="30" name="Диаграмма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H133"/>
  <sheetViews>
    <sheetView zoomScaleNormal="100" workbookViewId="0">
      <selection activeCell="D1" sqref="D1"/>
    </sheetView>
  </sheetViews>
  <sheetFormatPr defaultRowHeight="15" x14ac:dyDescent="0.25"/>
  <sheetData>
    <row r="2" spans="1:8" x14ac:dyDescent="0.25">
      <c r="A2" s="1" t="s">
        <v>3</v>
      </c>
      <c r="B2" t="s">
        <v>4</v>
      </c>
      <c r="D2" s="1" t="s">
        <v>3</v>
      </c>
      <c r="E2" t="s">
        <v>4</v>
      </c>
      <c r="G2" s="1" t="s">
        <v>3</v>
      </c>
      <c r="H2" t="s">
        <v>4</v>
      </c>
    </row>
    <row r="3" spans="1:8" x14ac:dyDescent="0.25">
      <c r="A3" t="s">
        <v>0</v>
      </c>
      <c r="D3" t="s">
        <v>1</v>
      </c>
      <c r="G3" t="s">
        <v>2</v>
      </c>
    </row>
    <row r="4" spans="1:8" x14ac:dyDescent="0.25">
      <c r="A4">
        <v>2.999959E-2</v>
      </c>
      <c r="B4">
        <v>-10211.516600000001</v>
      </c>
      <c r="D4">
        <v>2.999959E-2</v>
      </c>
      <c r="E4">
        <v>6393.421875</v>
      </c>
      <c r="G4">
        <v>2.999959E-2</v>
      </c>
      <c r="H4">
        <v>-3206.3957519999999</v>
      </c>
    </row>
    <row r="5" spans="1:8" x14ac:dyDescent="0.25">
      <c r="A5">
        <v>3.9999958000000002E-2</v>
      </c>
      <c r="B5">
        <v>-6416.783203</v>
      </c>
      <c r="D5">
        <v>3.9999958000000002E-2</v>
      </c>
      <c r="E5">
        <v>2912.7277829999998</v>
      </c>
      <c r="G5">
        <v>3.9999958000000002E-2</v>
      </c>
      <c r="H5">
        <v>-5408.4360349999997</v>
      </c>
    </row>
    <row r="6" spans="1:8" x14ac:dyDescent="0.25">
      <c r="A6">
        <v>4.9999818000000001E-2</v>
      </c>
      <c r="B6">
        <v>-642.87426760000005</v>
      </c>
      <c r="D6">
        <v>4.9999818000000001E-2</v>
      </c>
      <c r="E6">
        <v>-537.89068599999996</v>
      </c>
      <c r="G6">
        <v>4.9999818000000001E-2</v>
      </c>
      <c r="H6">
        <v>-5601.0874020000001</v>
      </c>
    </row>
    <row r="7" spans="1:8" x14ac:dyDescent="0.25">
      <c r="A7">
        <v>5.9999681999999999E-2</v>
      </c>
      <c r="B7">
        <v>-1929.0867920000001</v>
      </c>
      <c r="D7">
        <v>5.9999681999999999E-2</v>
      </c>
      <c r="E7">
        <v>2300.999268</v>
      </c>
      <c r="G7">
        <v>5.9999681999999999E-2</v>
      </c>
      <c r="H7">
        <v>-2089.9152829999998</v>
      </c>
    </row>
    <row r="8" spans="1:8" x14ac:dyDescent="0.25">
      <c r="A8">
        <v>6.9999545999999996E-2</v>
      </c>
      <c r="B8">
        <v>-3346.3098150000001</v>
      </c>
      <c r="D8">
        <v>6.9999545999999996E-2</v>
      </c>
      <c r="E8">
        <v>5544.5253910000001</v>
      </c>
      <c r="G8">
        <v>6.9999545999999996E-2</v>
      </c>
      <c r="H8">
        <v>3489.6308589999999</v>
      </c>
    </row>
    <row r="9" spans="1:8" x14ac:dyDescent="0.25">
      <c r="A9">
        <v>7.9999916000000004E-2</v>
      </c>
      <c r="B9">
        <v>-2982.7238769999999</v>
      </c>
      <c r="D9">
        <v>7.9999916000000004E-2</v>
      </c>
      <c r="E9">
        <v>4870.4604490000002</v>
      </c>
      <c r="G9">
        <v>7.9999916000000004E-2</v>
      </c>
      <c r="H9">
        <v>4211.7846680000002</v>
      </c>
    </row>
    <row r="10" spans="1:8" x14ac:dyDescent="0.25">
      <c r="A10">
        <v>8.9999773000000005E-2</v>
      </c>
      <c r="B10">
        <v>-638.06988530000001</v>
      </c>
      <c r="D10">
        <v>8.9999773000000005E-2</v>
      </c>
      <c r="E10">
        <v>2740.4272460000002</v>
      </c>
      <c r="G10">
        <v>8.9999773000000005E-2</v>
      </c>
      <c r="H10">
        <v>-1156.8688970000001</v>
      </c>
    </row>
    <row r="11" spans="1:8" x14ac:dyDescent="0.25">
      <c r="A11">
        <v>9.9999636000000003E-2</v>
      </c>
      <c r="B11">
        <v>-169.1958008</v>
      </c>
      <c r="D11">
        <v>9.9999636000000003E-2</v>
      </c>
      <c r="E11">
        <v>2993.9255370000001</v>
      </c>
      <c r="G11">
        <v>9.9999636000000003E-2</v>
      </c>
      <c r="H11">
        <v>-3763.58374</v>
      </c>
    </row>
    <row r="12" spans="1:8" x14ac:dyDescent="0.25">
      <c r="A12">
        <v>0.1099995</v>
      </c>
      <c r="B12">
        <v>-4190.0400390000004</v>
      </c>
      <c r="D12">
        <v>0.1099995</v>
      </c>
      <c r="E12">
        <v>5262.0961909999996</v>
      </c>
      <c r="G12">
        <v>0.1099995</v>
      </c>
      <c r="H12">
        <v>-220.30354310000001</v>
      </c>
    </row>
    <row r="13" spans="1:8" x14ac:dyDescent="0.25">
      <c r="A13">
        <v>0.11999987099999999</v>
      </c>
      <c r="B13">
        <v>-7143.4604490000002</v>
      </c>
      <c r="D13">
        <v>0.11999987099999999</v>
      </c>
      <c r="E13">
        <v>8232.3828130000002</v>
      </c>
      <c r="G13">
        <v>0.11999987099999999</v>
      </c>
      <c r="H13">
        <v>1358.0454099999999</v>
      </c>
    </row>
    <row r="14" spans="1:8" x14ac:dyDescent="0.25">
      <c r="A14">
        <v>0.12999972700000001</v>
      </c>
      <c r="B14">
        <v>-6372.798828</v>
      </c>
      <c r="D14">
        <v>0.12999972700000001</v>
      </c>
      <c r="E14">
        <v>12640.358399999999</v>
      </c>
      <c r="G14">
        <v>0.12999972700000001</v>
      </c>
      <c r="H14">
        <v>986.48443599999996</v>
      </c>
    </row>
    <row r="15" spans="1:8" x14ac:dyDescent="0.25">
      <c r="A15">
        <v>0.139999598</v>
      </c>
      <c r="B15">
        <v>-6417.3388670000004</v>
      </c>
      <c r="D15">
        <v>0.139999598</v>
      </c>
      <c r="E15">
        <v>17027.632809999999</v>
      </c>
      <c r="G15">
        <v>0.139999598</v>
      </c>
      <c r="H15">
        <v>8570.3027340000008</v>
      </c>
    </row>
    <row r="16" spans="1:8" x14ac:dyDescent="0.25">
      <c r="A16">
        <v>0.14999996099999999</v>
      </c>
      <c r="B16">
        <v>-8309.7421880000002</v>
      </c>
      <c r="D16">
        <v>0.14999996099999999</v>
      </c>
      <c r="E16">
        <v>16236.70996</v>
      </c>
      <c r="G16">
        <v>0.14999996099999999</v>
      </c>
      <c r="H16">
        <v>12298.09375</v>
      </c>
    </row>
    <row r="17" spans="1:8" x14ac:dyDescent="0.25">
      <c r="A17">
        <v>0.15999983300000001</v>
      </c>
      <c r="B17">
        <v>-10312.32422</v>
      </c>
      <c r="D17">
        <v>0.15999983300000001</v>
      </c>
      <c r="E17">
        <v>8364.0576170000004</v>
      </c>
      <c r="G17">
        <v>0.15999983300000001</v>
      </c>
      <c r="H17">
        <v>-11953.0625</v>
      </c>
    </row>
    <row r="18" spans="1:8" x14ac:dyDescent="0.25">
      <c r="A18">
        <v>0.16999968900000001</v>
      </c>
      <c r="B18">
        <v>-11707.64258</v>
      </c>
      <c r="D18">
        <v>0.16999968900000001</v>
      </c>
      <c r="E18">
        <v>-378.59463499999998</v>
      </c>
      <c r="G18">
        <v>0.16999968900000001</v>
      </c>
      <c r="H18">
        <v>-40712.496090000001</v>
      </c>
    </row>
    <row r="19" spans="1:8" x14ac:dyDescent="0.25">
      <c r="A19">
        <v>0.17999954500000001</v>
      </c>
      <c r="B19">
        <v>-8426.9248050000006</v>
      </c>
      <c r="D19">
        <v>0.17999954500000001</v>
      </c>
      <c r="E19">
        <v>-1429.139404</v>
      </c>
      <c r="G19">
        <v>0.17999954500000001</v>
      </c>
      <c r="H19">
        <v>-24722.662110000001</v>
      </c>
    </row>
    <row r="20" spans="1:8" x14ac:dyDescent="0.25">
      <c r="A20">
        <v>0.18999992299999999</v>
      </c>
      <c r="B20">
        <v>1135.8443600000001</v>
      </c>
      <c r="D20">
        <v>0.18999992299999999</v>
      </c>
      <c r="E20">
        <v>6151.8305659999996</v>
      </c>
      <c r="G20">
        <v>0.18999992299999999</v>
      </c>
      <c r="H20">
        <v>20261.748049999998</v>
      </c>
    </row>
    <row r="21" spans="1:8" x14ac:dyDescent="0.25">
      <c r="A21">
        <v>0.19999977899999999</v>
      </c>
      <c r="B21">
        <v>7948.2236329999996</v>
      </c>
      <c r="D21">
        <v>0.19999977899999999</v>
      </c>
      <c r="E21">
        <v>14488.356449999999</v>
      </c>
      <c r="G21">
        <v>0.19999977899999999</v>
      </c>
      <c r="H21">
        <v>37988.386720000002</v>
      </c>
    </row>
    <row r="22" spans="1:8" x14ac:dyDescent="0.25">
      <c r="A22">
        <v>0.20999965100000001</v>
      </c>
      <c r="B22">
        <v>3423.9379880000001</v>
      </c>
      <c r="D22">
        <v>0.20999965100000001</v>
      </c>
      <c r="E22">
        <v>16770.203130000002</v>
      </c>
      <c r="G22">
        <v>0.20999965100000001</v>
      </c>
      <c r="H22">
        <v>23164.197270000001</v>
      </c>
    </row>
    <row r="23" spans="1:8" x14ac:dyDescent="0.25">
      <c r="A23">
        <v>0.22000001399999999</v>
      </c>
      <c r="B23">
        <v>-8408.1171880000002</v>
      </c>
      <c r="D23">
        <v>0.22000001399999999</v>
      </c>
      <c r="E23">
        <v>14776.91699</v>
      </c>
      <c r="G23">
        <v>0.22000001399999999</v>
      </c>
      <c r="H23">
        <v>6621.9741210000002</v>
      </c>
    </row>
    <row r="24" spans="1:8" x14ac:dyDescent="0.25">
      <c r="A24">
        <v>0.22999987</v>
      </c>
      <c r="B24">
        <v>-17744.921880000002</v>
      </c>
      <c r="D24">
        <v>0.22999987</v>
      </c>
      <c r="E24">
        <v>14243.26563</v>
      </c>
      <c r="G24">
        <v>0.22999987</v>
      </c>
      <c r="H24">
        <v>252.9771729</v>
      </c>
    </row>
    <row r="25" spans="1:8" x14ac:dyDescent="0.25">
      <c r="A25">
        <v>0.23999974099999999</v>
      </c>
      <c r="B25">
        <v>-18893.527340000001</v>
      </c>
      <c r="D25">
        <v>0.23999974099999999</v>
      </c>
      <c r="E25">
        <v>15880.128909999999</v>
      </c>
      <c r="G25">
        <v>0.23999974099999999</v>
      </c>
      <c r="H25">
        <v>-1893.2885739999999</v>
      </c>
    </row>
    <row r="26" spans="1:8" x14ac:dyDescent="0.25">
      <c r="A26">
        <v>0.24999959799999999</v>
      </c>
      <c r="B26">
        <v>-12237.64941</v>
      </c>
      <c r="D26">
        <v>0.24999959799999999</v>
      </c>
      <c r="E26">
        <v>15289.224609999999</v>
      </c>
      <c r="G26">
        <v>0.24999959799999999</v>
      </c>
      <c r="H26">
        <v>-11262.655269999999</v>
      </c>
    </row>
    <row r="27" spans="1:8" x14ac:dyDescent="0.25">
      <c r="A27">
        <v>0.259999961</v>
      </c>
      <c r="B27">
        <v>-4051.3566900000001</v>
      </c>
      <c r="D27">
        <v>0.259999961</v>
      </c>
      <c r="E27">
        <v>10601.57617</v>
      </c>
      <c r="G27">
        <v>0.259999961</v>
      </c>
      <c r="H27">
        <v>-28543.98242</v>
      </c>
    </row>
    <row r="28" spans="1:8" x14ac:dyDescent="0.25">
      <c r="A28">
        <v>0.269999832</v>
      </c>
      <c r="B28">
        <v>172.52528380000001</v>
      </c>
      <c r="D28">
        <v>0.269999832</v>
      </c>
      <c r="E28">
        <v>5147.21875</v>
      </c>
      <c r="G28">
        <v>0.269999832</v>
      </c>
      <c r="H28">
        <v>-27831.917969999999</v>
      </c>
    </row>
    <row r="29" spans="1:8" x14ac:dyDescent="0.25">
      <c r="A29">
        <v>0.27999970299999999</v>
      </c>
      <c r="B29">
        <v>2239.945068</v>
      </c>
      <c r="D29">
        <v>0.27999970299999999</v>
      </c>
      <c r="E29">
        <v>3752.821289</v>
      </c>
      <c r="G29">
        <v>0.27999970299999999</v>
      </c>
      <c r="H29">
        <v>4625.0498049999997</v>
      </c>
    </row>
    <row r="30" spans="1:8" x14ac:dyDescent="0.25">
      <c r="A30">
        <v>0.28999954500000003</v>
      </c>
      <c r="B30">
        <v>2954.7861330000001</v>
      </c>
      <c r="D30">
        <v>0.28999954500000003</v>
      </c>
      <c r="E30">
        <v>8139.1328130000002</v>
      </c>
      <c r="G30">
        <v>0.28999954500000003</v>
      </c>
      <c r="H30">
        <v>34916.628909999999</v>
      </c>
    </row>
    <row r="31" spans="1:8" x14ac:dyDescent="0.25">
      <c r="A31">
        <v>0.299999923</v>
      </c>
      <c r="B31">
        <v>-2122.8515630000002</v>
      </c>
      <c r="D31">
        <v>0.299999923</v>
      </c>
      <c r="E31">
        <v>13768.965819999999</v>
      </c>
      <c r="G31">
        <v>0.299999923</v>
      </c>
      <c r="H31">
        <v>30065.86133</v>
      </c>
    </row>
    <row r="32" spans="1:8" x14ac:dyDescent="0.25">
      <c r="A32">
        <v>0.309999794</v>
      </c>
      <c r="B32">
        <v>-11089.414059999999</v>
      </c>
      <c r="D32">
        <v>0.309999794</v>
      </c>
      <c r="E32">
        <v>15628.73633</v>
      </c>
      <c r="G32">
        <v>0.309999794</v>
      </c>
      <c r="H32">
        <v>4429.4091799999997</v>
      </c>
    </row>
    <row r="33" spans="1:8" x14ac:dyDescent="0.25">
      <c r="A33">
        <v>0.31999966499999999</v>
      </c>
      <c r="B33">
        <v>-15159.07617</v>
      </c>
      <c r="D33">
        <v>0.31999966499999999</v>
      </c>
      <c r="E33">
        <v>15936.735350000001</v>
      </c>
      <c r="G33">
        <v>0.31999966499999999</v>
      </c>
      <c r="H33">
        <v>-12721.54981</v>
      </c>
    </row>
    <row r="34" spans="1:8" x14ac:dyDescent="0.25">
      <c r="A34">
        <v>0.329999506</v>
      </c>
      <c r="B34">
        <v>-10922.58203</v>
      </c>
      <c r="D34">
        <v>0.329999506</v>
      </c>
      <c r="E34">
        <v>17048.765630000002</v>
      </c>
      <c r="G34">
        <v>0.329999506</v>
      </c>
      <c r="H34">
        <v>-14397.202149999999</v>
      </c>
    </row>
    <row r="35" spans="1:8" x14ac:dyDescent="0.25">
      <c r="A35">
        <v>0.33999988399999997</v>
      </c>
      <c r="B35">
        <v>-2406.882568</v>
      </c>
      <c r="D35">
        <v>0.33999988399999997</v>
      </c>
      <c r="E35">
        <v>14887.57813</v>
      </c>
      <c r="G35">
        <v>0.33999988399999997</v>
      </c>
      <c r="H35">
        <v>-6986.1801759999998</v>
      </c>
    </row>
    <row r="36" spans="1:8" x14ac:dyDescent="0.25">
      <c r="A36">
        <v>0.349999756</v>
      </c>
      <c r="B36">
        <v>3989.2883299999999</v>
      </c>
      <c r="D36">
        <v>0.349999756</v>
      </c>
      <c r="E36">
        <v>8530.6142579999996</v>
      </c>
      <c r="G36">
        <v>0.349999756</v>
      </c>
      <c r="H36">
        <v>3707.1804200000001</v>
      </c>
    </row>
    <row r="37" spans="1:8" x14ac:dyDescent="0.25">
      <c r="A37">
        <v>0.359999597</v>
      </c>
      <c r="B37">
        <v>3844.7683109999998</v>
      </c>
      <c r="D37">
        <v>0.359999597</v>
      </c>
      <c r="E37">
        <v>3883.7465820000002</v>
      </c>
      <c r="G37">
        <v>0.359999597</v>
      </c>
      <c r="H37">
        <v>9807.4267579999996</v>
      </c>
    </row>
    <row r="38" spans="1:8" x14ac:dyDescent="0.25">
      <c r="A38">
        <v>0.369999468</v>
      </c>
      <c r="B38">
        <v>-2302.3684079999998</v>
      </c>
      <c r="D38">
        <v>0.369999468</v>
      </c>
      <c r="E38">
        <v>3429.0986330000001</v>
      </c>
      <c r="G38">
        <v>0.369999468</v>
      </c>
      <c r="H38">
        <v>2097.4470219999998</v>
      </c>
    </row>
    <row r="39" spans="1:8" x14ac:dyDescent="0.25">
      <c r="A39">
        <v>0.37999984599999997</v>
      </c>
      <c r="B39">
        <v>-10388.11816</v>
      </c>
      <c r="D39">
        <v>0.37999984599999997</v>
      </c>
      <c r="E39">
        <v>4079.4194339999999</v>
      </c>
      <c r="G39">
        <v>0.37999984599999997</v>
      </c>
      <c r="H39">
        <v>-12393.4043</v>
      </c>
    </row>
    <row r="40" spans="1:8" x14ac:dyDescent="0.25">
      <c r="A40">
        <v>0.38999968800000001</v>
      </c>
      <c r="B40">
        <v>-14907.00684</v>
      </c>
      <c r="D40">
        <v>0.38999968800000001</v>
      </c>
      <c r="E40">
        <v>5179.7094729999999</v>
      </c>
      <c r="G40">
        <v>0.38999968800000001</v>
      </c>
      <c r="H40">
        <v>-9166.4306639999995</v>
      </c>
    </row>
    <row r="41" spans="1:8" x14ac:dyDescent="0.25">
      <c r="A41">
        <v>0.399999559</v>
      </c>
      <c r="B41">
        <v>-12474.1543</v>
      </c>
      <c r="D41">
        <v>0.399999559</v>
      </c>
      <c r="E41">
        <v>8647.578125</v>
      </c>
      <c r="G41">
        <v>0.399999559</v>
      </c>
      <c r="H41">
        <v>10817.76953</v>
      </c>
    </row>
    <row r="42" spans="1:8" x14ac:dyDescent="0.25">
      <c r="A42">
        <v>0.40999943</v>
      </c>
      <c r="B42">
        <v>-5891.9643560000004</v>
      </c>
      <c r="D42">
        <v>0.40999943</v>
      </c>
      <c r="E42">
        <v>11212.128909999999</v>
      </c>
      <c r="G42">
        <v>0.40999943</v>
      </c>
      <c r="H42">
        <v>16025.38574</v>
      </c>
    </row>
    <row r="43" spans="1:8" x14ac:dyDescent="0.25">
      <c r="A43">
        <v>0.41999980799999997</v>
      </c>
      <c r="B43">
        <v>-81.626029970000005</v>
      </c>
      <c r="D43">
        <v>0.41999980799999997</v>
      </c>
      <c r="E43">
        <v>8794.7207030000009</v>
      </c>
      <c r="G43">
        <v>0.41999980799999997</v>
      </c>
      <c r="H43">
        <v>4024.7375489999999</v>
      </c>
    </row>
    <row r="44" spans="1:8" x14ac:dyDescent="0.25">
      <c r="A44">
        <v>0.42999965000000001</v>
      </c>
      <c r="B44">
        <v>2309.16626</v>
      </c>
      <c r="D44">
        <v>0.42999965000000001</v>
      </c>
      <c r="E44">
        <v>7913.7607420000004</v>
      </c>
      <c r="G44">
        <v>0.42999965000000001</v>
      </c>
      <c r="H44">
        <v>-142.84140020000001</v>
      </c>
    </row>
    <row r="45" spans="1:8" x14ac:dyDescent="0.25">
      <c r="A45">
        <v>0.439999521</v>
      </c>
      <c r="B45">
        <v>-418.89129639999999</v>
      </c>
      <c r="D45">
        <v>0.439999521</v>
      </c>
      <c r="E45">
        <v>15518.472659999999</v>
      </c>
      <c r="G45">
        <v>0.439999521</v>
      </c>
      <c r="H45">
        <v>2650.3063969999998</v>
      </c>
    </row>
    <row r="46" spans="1:8" x14ac:dyDescent="0.25">
      <c r="A46">
        <v>0.449999392</v>
      </c>
      <c r="B46">
        <v>-6659.4755859999996</v>
      </c>
      <c r="D46">
        <v>0.449999392</v>
      </c>
      <c r="E46">
        <v>23493.75</v>
      </c>
      <c r="G46">
        <v>0.449999392</v>
      </c>
      <c r="H46">
        <v>-1330.464111</v>
      </c>
    </row>
    <row r="47" spans="1:8" x14ac:dyDescent="0.25">
      <c r="A47">
        <v>0.45999973999999999</v>
      </c>
      <c r="B47">
        <v>-10561.89453</v>
      </c>
      <c r="D47">
        <v>0.45999973999999999</v>
      </c>
      <c r="E47">
        <v>21016.632809999999</v>
      </c>
      <c r="G47">
        <v>0.45999973999999999</v>
      </c>
      <c r="H47">
        <v>-7863.7905270000001</v>
      </c>
    </row>
    <row r="48" spans="1:8" x14ac:dyDescent="0.25">
      <c r="A48">
        <v>0.46999961099999998</v>
      </c>
      <c r="B48">
        <v>-9937.8876949999994</v>
      </c>
      <c r="D48">
        <v>0.46999961099999998</v>
      </c>
      <c r="E48">
        <v>11506.882809999999</v>
      </c>
      <c r="G48">
        <v>0.46999961099999998</v>
      </c>
      <c r="H48">
        <v>-8422.6435550000006</v>
      </c>
    </row>
    <row r="49" spans="1:8" x14ac:dyDescent="0.25">
      <c r="A49">
        <v>0.479999483</v>
      </c>
      <c r="B49">
        <v>-9130.9306639999995</v>
      </c>
      <c r="D49">
        <v>0.479999483</v>
      </c>
      <c r="E49">
        <v>4470.6708980000003</v>
      </c>
      <c r="G49">
        <v>0.479999483</v>
      </c>
      <c r="H49">
        <v>523.86712650000004</v>
      </c>
    </row>
    <row r="50" spans="1:8" x14ac:dyDescent="0.25">
      <c r="A50">
        <v>0.489999354</v>
      </c>
      <c r="B50">
        <v>-10375.87695</v>
      </c>
      <c r="D50">
        <v>0.489999354</v>
      </c>
      <c r="E50">
        <v>2000.5972899999999</v>
      </c>
      <c r="G50">
        <v>0.489999354</v>
      </c>
      <c r="H50">
        <v>8917.7470699999994</v>
      </c>
    </row>
    <row r="51" spans="1:8" x14ac:dyDescent="0.25">
      <c r="A51">
        <v>0.49999970199999999</v>
      </c>
      <c r="B51">
        <v>-9895.8691409999992</v>
      </c>
      <c r="D51">
        <v>0.49999970199999999</v>
      </c>
      <c r="E51">
        <v>943.73107909999999</v>
      </c>
      <c r="G51">
        <v>0.49999970199999999</v>
      </c>
      <c r="H51">
        <v>-8174.1806640000004</v>
      </c>
    </row>
    <row r="52" spans="1:8" x14ac:dyDescent="0.25">
      <c r="A52">
        <v>0.50999957299999998</v>
      </c>
      <c r="B52">
        <v>-5393.9653319999998</v>
      </c>
      <c r="D52">
        <v>0.50999957299999998</v>
      </c>
      <c r="E52">
        <v>-171.05810550000001</v>
      </c>
      <c r="G52">
        <v>0.50999957299999998</v>
      </c>
      <c r="H52">
        <v>-37132.714840000001</v>
      </c>
    </row>
    <row r="53" spans="1:8" x14ac:dyDescent="0.25">
      <c r="A53">
        <v>0.51999944399999998</v>
      </c>
      <c r="B53">
        <v>120.2731934</v>
      </c>
      <c r="D53">
        <v>0.51999944399999998</v>
      </c>
      <c r="E53">
        <v>475.09155270000002</v>
      </c>
      <c r="G53">
        <v>0.51999944399999998</v>
      </c>
      <c r="H53">
        <v>-24618.255860000001</v>
      </c>
    </row>
    <row r="54" spans="1:8" x14ac:dyDescent="0.25">
      <c r="A54">
        <v>0.529999793</v>
      </c>
      <c r="B54">
        <v>2980.3420409999999</v>
      </c>
      <c r="D54">
        <v>0.529999793</v>
      </c>
      <c r="E54">
        <v>5210.5834960000002</v>
      </c>
      <c r="G54">
        <v>0.529999793</v>
      </c>
      <c r="H54">
        <v>23951.722659999999</v>
      </c>
    </row>
    <row r="55" spans="1:8" x14ac:dyDescent="0.25">
      <c r="A55">
        <v>0.53999966399999999</v>
      </c>
      <c r="B55">
        <v>1063.584351</v>
      </c>
      <c r="D55">
        <v>0.53999966399999999</v>
      </c>
      <c r="E55">
        <v>11031.5957</v>
      </c>
      <c r="G55">
        <v>0.53999966399999999</v>
      </c>
      <c r="H55">
        <v>44945.125</v>
      </c>
    </row>
    <row r="56" spans="1:8" x14ac:dyDescent="0.25">
      <c r="A56">
        <v>0.54999953499999998</v>
      </c>
      <c r="B56">
        <v>-4799.1464839999999</v>
      </c>
      <c r="D56">
        <v>0.54999953499999998</v>
      </c>
      <c r="E56">
        <v>11276.30566</v>
      </c>
      <c r="G56">
        <v>0.54999953499999998</v>
      </c>
      <c r="H56">
        <v>23925.251950000002</v>
      </c>
    </row>
    <row r="57" spans="1:8" x14ac:dyDescent="0.25">
      <c r="A57">
        <v>0.55999940599999998</v>
      </c>
      <c r="B57">
        <v>-8421.9707030000009</v>
      </c>
      <c r="D57">
        <v>0.55999940599999998</v>
      </c>
      <c r="E57">
        <v>6909.6284180000002</v>
      </c>
      <c r="G57">
        <v>0.55999940599999998</v>
      </c>
      <c r="H57">
        <v>-2141.5615229999999</v>
      </c>
    </row>
    <row r="58" spans="1:8" x14ac:dyDescent="0.25">
      <c r="A58">
        <v>0.56999975400000003</v>
      </c>
      <c r="B58">
        <v>-5659.0659180000002</v>
      </c>
      <c r="D58">
        <v>0.56999975400000003</v>
      </c>
      <c r="E58">
        <v>5836.5839839999999</v>
      </c>
      <c r="G58">
        <v>0.56999975400000003</v>
      </c>
      <c r="H58">
        <v>-15755.58106</v>
      </c>
    </row>
    <row r="59" spans="1:8" x14ac:dyDescent="0.25">
      <c r="A59">
        <v>0.57999962599999999</v>
      </c>
      <c r="B59">
        <v>-1555.473023</v>
      </c>
      <c r="D59">
        <v>0.57999962599999999</v>
      </c>
      <c r="E59">
        <v>8772.4072269999997</v>
      </c>
      <c r="G59">
        <v>0.57999962599999999</v>
      </c>
      <c r="H59">
        <v>-20610.636719999999</v>
      </c>
    </row>
    <row r="60" spans="1:8" x14ac:dyDescent="0.25">
      <c r="A60">
        <v>0.58999949699999998</v>
      </c>
      <c r="B60">
        <v>-1766.9677730000001</v>
      </c>
      <c r="D60">
        <v>0.58999949699999998</v>
      </c>
      <c r="E60">
        <v>8513.2207030000009</v>
      </c>
      <c r="G60">
        <v>0.58999949699999998</v>
      </c>
      <c r="H60">
        <v>-15957.82422</v>
      </c>
    </row>
    <row r="61" spans="1:8" x14ac:dyDescent="0.25">
      <c r="A61">
        <v>0.59999936799999998</v>
      </c>
      <c r="B61">
        <v>-5171.4985349999997</v>
      </c>
      <c r="D61">
        <v>0.59999936799999998</v>
      </c>
      <c r="E61">
        <v>3636.320557</v>
      </c>
      <c r="G61">
        <v>0.59999936799999998</v>
      </c>
      <c r="H61">
        <v>-255.18084719999999</v>
      </c>
    </row>
    <row r="62" spans="1:8" x14ac:dyDescent="0.25">
      <c r="A62">
        <v>0.60999971600000003</v>
      </c>
      <c r="B62">
        <v>-8989.3789059999999</v>
      </c>
      <c r="D62">
        <v>0.60999971600000003</v>
      </c>
      <c r="E62">
        <v>523.48736570000005</v>
      </c>
      <c r="G62">
        <v>0.60999971600000003</v>
      </c>
      <c r="H62">
        <v>17463.933590000001</v>
      </c>
    </row>
    <row r="63" spans="1:8" x14ac:dyDescent="0.25">
      <c r="A63">
        <v>0.61999958799999999</v>
      </c>
      <c r="B63">
        <v>-11508.969730000001</v>
      </c>
      <c r="D63">
        <v>0.61999958799999999</v>
      </c>
      <c r="E63">
        <v>199.8712463</v>
      </c>
      <c r="G63">
        <v>0.61999958799999999</v>
      </c>
      <c r="H63">
        <v>14542.543949999999</v>
      </c>
    </row>
    <row r="64" spans="1:8" x14ac:dyDescent="0.25">
      <c r="A64">
        <v>0.62999945899999998</v>
      </c>
      <c r="B64">
        <v>-10417.57422</v>
      </c>
      <c r="D64">
        <v>0.62999945899999998</v>
      </c>
      <c r="E64">
        <v>-3734.873047</v>
      </c>
      <c r="G64">
        <v>0.62999945899999998</v>
      </c>
      <c r="H64">
        <v>-15614.7207</v>
      </c>
    </row>
    <row r="65" spans="1:8" x14ac:dyDescent="0.25">
      <c r="A65">
        <v>0.63999932999999998</v>
      </c>
      <c r="B65">
        <v>-4673.640625</v>
      </c>
      <c r="D65">
        <v>0.63999932999999998</v>
      </c>
      <c r="E65">
        <v>-8803.8837889999995</v>
      </c>
      <c r="G65">
        <v>0.63999932999999998</v>
      </c>
      <c r="H65">
        <v>-32903.589840000001</v>
      </c>
    </row>
    <row r="66" spans="1:8" x14ac:dyDescent="0.25">
      <c r="A66">
        <v>0.64999967800000003</v>
      </c>
      <c r="B66">
        <v>3448.6235350000002</v>
      </c>
      <c r="D66">
        <v>0.64999967800000003</v>
      </c>
      <c r="E66">
        <v>-2278.7690429999998</v>
      </c>
      <c r="G66">
        <v>0.64999967800000003</v>
      </c>
      <c r="H66">
        <v>-5676.9682620000003</v>
      </c>
    </row>
    <row r="67" spans="1:8" x14ac:dyDescent="0.25">
      <c r="A67">
        <v>0.65999954900000002</v>
      </c>
      <c r="B67">
        <v>8663.8574219999991</v>
      </c>
      <c r="D67">
        <v>0.65999954900000002</v>
      </c>
      <c r="E67">
        <v>14114.007809999999</v>
      </c>
      <c r="G67">
        <v>0.65999954900000002</v>
      </c>
      <c r="H67">
        <v>28163.626950000002</v>
      </c>
    </row>
    <row r="68" spans="1:8" x14ac:dyDescent="0.25">
      <c r="A68">
        <v>0.66999942099999998</v>
      </c>
      <c r="B68">
        <v>6456.3393560000004</v>
      </c>
      <c r="D68">
        <v>0.66999942099999998</v>
      </c>
      <c r="E68">
        <v>19968.345700000002</v>
      </c>
      <c r="G68">
        <v>0.66999942099999998</v>
      </c>
      <c r="H68">
        <v>24472.318360000001</v>
      </c>
    </row>
    <row r="69" spans="1:8" x14ac:dyDescent="0.25">
      <c r="A69">
        <v>0.67999923200000001</v>
      </c>
      <c r="B69">
        <v>-1104.885376</v>
      </c>
      <c r="D69">
        <v>0.67999923200000001</v>
      </c>
      <c r="E69">
        <v>9027.3623050000006</v>
      </c>
      <c r="G69">
        <v>0.67999923200000001</v>
      </c>
      <c r="H69">
        <v>2116.3059079999998</v>
      </c>
    </row>
    <row r="70" spans="1:8" x14ac:dyDescent="0.25">
      <c r="A70">
        <v>0.68999964000000003</v>
      </c>
      <c r="B70">
        <v>-6951.8535160000001</v>
      </c>
      <c r="D70">
        <v>0.68999964000000003</v>
      </c>
      <c r="E70">
        <v>196.8180389</v>
      </c>
      <c r="G70">
        <v>0.68999964000000003</v>
      </c>
      <c r="H70">
        <v>-7387.0849609999996</v>
      </c>
    </row>
    <row r="71" spans="1:8" x14ac:dyDescent="0.25">
      <c r="A71">
        <v>0.69999951100000002</v>
      </c>
      <c r="B71">
        <v>-7377.3969729999999</v>
      </c>
      <c r="D71">
        <v>0.69999951100000002</v>
      </c>
      <c r="E71">
        <v>3154.133057</v>
      </c>
      <c r="G71">
        <v>0.69999951100000002</v>
      </c>
      <c r="H71">
        <v>-9883.3837889999995</v>
      </c>
    </row>
    <row r="72" spans="1:8" x14ac:dyDescent="0.25">
      <c r="A72">
        <v>0.70999938299999998</v>
      </c>
      <c r="B72">
        <v>-4572.8247069999998</v>
      </c>
      <c r="D72">
        <v>0.70999938299999998</v>
      </c>
      <c r="E72">
        <v>3636.3154300000001</v>
      </c>
      <c r="G72">
        <v>0.70999938299999998</v>
      </c>
      <c r="H72">
        <v>-14127.4707</v>
      </c>
    </row>
    <row r="73" spans="1:8" x14ac:dyDescent="0.25">
      <c r="A73">
        <v>0.71999919400000001</v>
      </c>
      <c r="B73">
        <v>-1018.175659</v>
      </c>
      <c r="D73">
        <v>0.71999919400000001</v>
      </c>
      <c r="E73">
        <v>-3835.1064449999999</v>
      </c>
      <c r="G73">
        <v>0.71999919400000001</v>
      </c>
      <c r="H73">
        <v>-10264.14258</v>
      </c>
    </row>
    <row r="74" spans="1:8" x14ac:dyDescent="0.25">
      <c r="A74">
        <v>0.72999960200000003</v>
      </c>
      <c r="B74">
        <v>2166.6567380000001</v>
      </c>
      <c r="D74">
        <v>0.72999960200000003</v>
      </c>
      <c r="E74">
        <v>-3723.656982</v>
      </c>
      <c r="G74">
        <v>0.72999960200000003</v>
      </c>
      <c r="H74">
        <v>1352.575562</v>
      </c>
    </row>
    <row r="75" spans="1:8" x14ac:dyDescent="0.25">
      <c r="A75">
        <v>0.73999947300000002</v>
      </c>
      <c r="B75">
        <v>2336.4904790000001</v>
      </c>
      <c r="D75">
        <v>0.73999947300000002</v>
      </c>
      <c r="E75">
        <v>8620.6640630000002</v>
      </c>
      <c r="G75">
        <v>0.73999947300000002</v>
      </c>
      <c r="H75">
        <v>6247.4946289999998</v>
      </c>
    </row>
    <row r="76" spans="1:8" x14ac:dyDescent="0.25">
      <c r="A76">
        <v>0.74999928500000002</v>
      </c>
      <c r="B76">
        <v>-1653.764893</v>
      </c>
      <c r="D76">
        <v>0.74999928500000002</v>
      </c>
      <c r="E76">
        <v>18518.896479999999</v>
      </c>
      <c r="G76">
        <v>0.74999928500000002</v>
      </c>
      <c r="H76">
        <v>2288.4077149999998</v>
      </c>
    </row>
    <row r="77" spans="1:8" x14ac:dyDescent="0.25">
      <c r="A77">
        <v>0.75999915600000001</v>
      </c>
      <c r="B77">
        <v>-6481.8095700000003</v>
      </c>
      <c r="D77">
        <v>0.75999915600000001</v>
      </c>
      <c r="E77">
        <v>20772.628909999999</v>
      </c>
      <c r="G77">
        <v>0.75999915600000001</v>
      </c>
      <c r="H77">
        <v>-618.00909420000005</v>
      </c>
    </row>
    <row r="78" spans="1:8" x14ac:dyDescent="0.25">
      <c r="A78">
        <v>0.76999956400000003</v>
      </c>
      <c r="B78">
        <v>-8173.0434569999998</v>
      </c>
      <c r="D78">
        <v>0.76999956400000003</v>
      </c>
      <c r="E78">
        <v>26308.355469999999</v>
      </c>
      <c r="G78">
        <v>0.76999956400000003</v>
      </c>
      <c r="H78">
        <v>511.5487061</v>
      </c>
    </row>
    <row r="79" spans="1:8" x14ac:dyDescent="0.25">
      <c r="A79">
        <v>0.77999937500000005</v>
      </c>
      <c r="B79">
        <v>-6282.1469729999999</v>
      </c>
      <c r="D79">
        <v>0.77999937500000005</v>
      </c>
      <c r="E79">
        <v>38499.867189999997</v>
      </c>
      <c r="G79">
        <v>0.77999937500000005</v>
      </c>
      <c r="H79">
        <v>2492.736328</v>
      </c>
    </row>
    <row r="80" spans="1:8" x14ac:dyDescent="0.25">
      <c r="A80">
        <v>0.78999924700000002</v>
      </c>
      <c r="B80">
        <v>-2999.9792480000001</v>
      </c>
      <c r="D80">
        <v>0.78999924700000002</v>
      </c>
      <c r="E80">
        <v>43347.15625</v>
      </c>
      <c r="G80">
        <v>0.78999924700000002</v>
      </c>
      <c r="H80">
        <v>4747.9428710000002</v>
      </c>
    </row>
    <row r="81" spans="1:8" x14ac:dyDescent="0.25">
      <c r="A81">
        <v>0.79999911800000001</v>
      </c>
      <c r="B81">
        <v>307.24255369999997</v>
      </c>
      <c r="D81">
        <v>0.79999911800000001</v>
      </c>
      <c r="E81">
        <v>27231.998049999998</v>
      </c>
      <c r="G81">
        <v>0.79999911800000001</v>
      </c>
      <c r="H81">
        <v>5936.4497069999998</v>
      </c>
    </row>
    <row r="82" spans="1:8" x14ac:dyDescent="0.25">
      <c r="A82">
        <v>0.80999952600000003</v>
      </c>
      <c r="B82">
        <v>3461.3852539999998</v>
      </c>
      <c r="D82">
        <v>0.80999952600000003</v>
      </c>
      <c r="E82">
        <v>-5115.830078</v>
      </c>
      <c r="G82">
        <v>0.80999952600000003</v>
      </c>
      <c r="H82">
        <v>2530.3327640000002</v>
      </c>
    </row>
    <row r="83" spans="1:8" x14ac:dyDescent="0.25">
      <c r="A83">
        <v>0.81999933700000005</v>
      </c>
      <c r="B83">
        <v>5543.2900390000004</v>
      </c>
      <c r="D83">
        <v>0.81999933700000005</v>
      </c>
      <c r="E83">
        <v>-34471.804689999997</v>
      </c>
      <c r="G83">
        <v>0.81999933700000005</v>
      </c>
      <c r="H83">
        <v>-3562.064453</v>
      </c>
    </row>
    <row r="84" spans="1:8" x14ac:dyDescent="0.25">
      <c r="A84">
        <v>0.82999920800000004</v>
      </c>
      <c r="B84">
        <v>3377.4270019999999</v>
      </c>
      <c r="D84">
        <v>0.82999920800000004</v>
      </c>
      <c r="E84">
        <v>-42498.726560000003</v>
      </c>
      <c r="G84">
        <v>0.82999920800000004</v>
      </c>
      <c r="H84">
        <v>-4853.5478519999997</v>
      </c>
    </row>
    <row r="85" spans="1:8" x14ac:dyDescent="0.25">
      <c r="A85">
        <v>0.83999908000000001</v>
      </c>
      <c r="B85">
        <v>-3453.5117190000001</v>
      </c>
      <c r="D85">
        <v>0.83999908000000001</v>
      </c>
      <c r="E85">
        <v>-25715.14258</v>
      </c>
      <c r="G85">
        <v>0.83999908000000001</v>
      </c>
      <c r="H85">
        <v>191.19256590000001</v>
      </c>
    </row>
    <row r="86" spans="1:8" x14ac:dyDescent="0.25">
      <c r="A86">
        <v>0.84999942799999995</v>
      </c>
      <c r="B86">
        <v>-8021.6879879999997</v>
      </c>
      <c r="D86">
        <v>0.84999942799999995</v>
      </c>
      <c r="E86">
        <v>1030.639893</v>
      </c>
      <c r="G86">
        <v>0.84999942799999995</v>
      </c>
      <c r="H86">
        <v>3424.495606</v>
      </c>
    </row>
    <row r="87" spans="1:8" x14ac:dyDescent="0.25">
      <c r="A87">
        <v>0.85999929900000005</v>
      </c>
      <c r="B87">
        <v>-6723.9760740000002</v>
      </c>
      <c r="D87">
        <v>0.85999929900000005</v>
      </c>
      <c r="E87">
        <v>22642.832030000001</v>
      </c>
      <c r="G87">
        <v>0.85999929900000005</v>
      </c>
      <c r="H87">
        <v>880.13085939999996</v>
      </c>
    </row>
    <row r="88" spans="1:8" x14ac:dyDescent="0.25">
      <c r="A88">
        <v>0.86999917000000004</v>
      </c>
      <c r="B88">
        <v>-4612.0834960000002</v>
      </c>
      <c r="D88">
        <v>0.86999917000000004</v>
      </c>
      <c r="E88">
        <v>37701.523439999997</v>
      </c>
      <c r="G88">
        <v>0.86999917000000004</v>
      </c>
      <c r="H88">
        <v>585.54522710000003</v>
      </c>
    </row>
    <row r="89" spans="1:8" x14ac:dyDescent="0.25">
      <c r="A89">
        <v>0.87999904200000001</v>
      </c>
      <c r="B89">
        <v>-5555.6420900000003</v>
      </c>
      <c r="D89">
        <v>0.87999904200000001</v>
      </c>
      <c r="E89">
        <v>44151.363279999998</v>
      </c>
      <c r="G89">
        <v>0.87999904200000001</v>
      </c>
      <c r="H89">
        <v>7790.4794920000004</v>
      </c>
    </row>
    <row r="90" spans="1:8" x14ac:dyDescent="0.25">
      <c r="A90">
        <v>0.88999938999999995</v>
      </c>
      <c r="B90">
        <v>-8460.703125</v>
      </c>
      <c r="D90">
        <v>0.88999938999999995</v>
      </c>
      <c r="E90">
        <v>31546.78125</v>
      </c>
      <c r="G90">
        <v>0.88999938999999995</v>
      </c>
      <c r="H90">
        <v>12997.76367</v>
      </c>
    </row>
    <row r="91" spans="1:8" x14ac:dyDescent="0.25">
      <c r="A91">
        <v>0.89999926100000005</v>
      </c>
      <c r="B91">
        <v>-9308.0917969999991</v>
      </c>
      <c r="D91">
        <v>0.89999926100000005</v>
      </c>
      <c r="E91">
        <v>2857.6865229999999</v>
      </c>
      <c r="G91">
        <v>0.89999926100000005</v>
      </c>
      <c r="H91">
        <v>6308.2382809999999</v>
      </c>
    </row>
    <row r="92" spans="1:8" x14ac:dyDescent="0.25">
      <c r="A92">
        <v>0.90999913200000004</v>
      </c>
      <c r="B92">
        <v>-5043.1601559999999</v>
      </c>
      <c r="D92">
        <v>0.90999913200000004</v>
      </c>
      <c r="E92">
        <v>-18342.08008</v>
      </c>
      <c r="G92">
        <v>0.90999913200000004</v>
      </c>
      <c r="H92">
        <v>-4078.3161620000001</v>
      </c>
    </row>
    <row r="93" spans="1:8" x14ac:dyDescent="0.25">
      <c r="A93">
        <v>0.91999900300000004</v>
      </c>
      <c r="B93">
        <v>1702.990356</v>
      </c>
      <c r="D93">
        <v>0.91999900300000004</v>
      </c>
      <c r="E93">
        <v>-18449.390630000002</v>
      </c>
      <c r="G93">
        <v>0.91999900300000004</v>
      </c>
      <c r="H93">
        <v>-2394.625732</v>
      </c>
    </row>
    <row r="94" spans="1:8" x14ac:dyDescent="0.25">
      <c r="A94">
        <v>0.92999935199999995</v>
      </c>
      <c r="B94">
        <v>5183.1152339999999</v>
      </c>
      <c r="D94">
        <v>0.92999935199999995</v>
      </c>
      <c r="E94">
        <v>-9187.5146480000003</v>
      </c>
      <c r="G94">
        <v>0.92999935199999995</v>
      </c>
      <c r="H94">
        <v>7050.4765630000002</v>
      </c>
    </row>
    <row r="95" spans="1:8" x14ac:dyDescent="0.25">
      <c r="A95">
        <v>0.93999922300000005</v>
      </c>
      <c r="B95">
        <v>3041.3366700000001</v>
      </c>
      <c r="D95">
        <v>0.93999922300000005</v>
      </c>
      <c r="E95">
        <v>-3815.423096</v>
      </c>
      <c r="G95">
        <v>0.93999922300000005</v>
      </c>
      <c r="H95">
        <v>3752.5595699999999</v>
      </c>
    </row>
    <row r="96" spans="1:8" x14ac:dyDescent="0.25">
      <c r="A96">
        <v>0.94999909400000004</v>
      </c>
      <c r="B96">
        <v>-1937.927124</v>
      </c>
      <c r="D96">
        <v>0.94999909400000004</v>
      </c>
      <c r="E96">
        <v>235.64309689999999</v>
      </c>
      <c r="G96">
        <v>0.94999909400000004</v>
      </c>
      <c r="H96">
        <v>-10467.13574</v>
      </c>
    </row>
    <row r="97" spans="1:8" x14ac:dyDescent="0.25">
      <c r="A97">
        <v>0.95999896500000004</v>
      </c>
      <c r="B97">
        <v>-6064.7822269999997</v>
      </c>
      <c r="D97">
        <v>0.95999896500000004</v>
      </c>
      <c r="E97">
        <v>9225.9208980000003</v>
      </c>
      <c r="G97">
        <v>0.95999896500000004</v>
      </c>
      <c r="H97">
        <v>-11939.592769999999</v>
      </c>
    </row>
    <row r="98" spans="1:8" x14ac:dyDescent="0.25">
      <c r="A98">
        <v>0.96999931299999997</v>
      </c>
      <c r="B98">
        <v>-6924.1865230000003</v>
      </c>
      <c r="D98">
        <v>0.96999931299999997</v>
      </c>
      <c r="E98">
        <v>17838.974610000001</v>
      </c>
      <c r="G98">
        <v>0.96999931299999997</v>
      </c>
      <c r="H98">
        <v>-368.54516599999999</v>
      </c>
    </row>
    <row r="99" spans="1:8" x14ac:dyDescent="0.25">
      <c r="A99">
        <v>0.97999918500000005</v>
      </c>
      <c r="B99">
        <v>-4329.8623049999997</v>
      </c>
      <c r="D99">
        <v>0.97999918500000005</v>
      </c>
      <c r="E99">
        <v>17357</v>
      </c>
      <c r="G99">
        <v>0.97999918500000005</v>
      </c>
      <c r="H99">
        <v>4299.2797849999997</v>
      </c>
    </row>
    <row r="100" spans="1:8" x14ac:dyDescent="0.25">
      <c r="A100">
        <v>0.98999905600000004</v>
      </c>
      <c r="B100">
        <v>-1439.774048</v>
      </c>
      <c r="D100">
        <v>0.98999905600000004</v>
      </c>
      <c r="E100">
        <v>11105.502930000001</v>
      </c>
      <c r="G100">
        <v>0.98999905600000004</v>
      </c>
      <c r="H100">
        <v>1148.0482179999999</v>
      </c>
    </row>
    <row r="101" spans="1:8" x14ac:dyDescent="0.25">
      <c r="A101">
        <v>0.99999892700000004</v>
      </c>
      <c r="B101">
        <v>335.44754030000001</v>
      </c>
      <c r="D101">
        <v>0.99999892700000004</v>
      </c>
      <c r="E101">
        <v>6518.7846680000002</v>
      </c>
      <c r="G101">
        <v>0.99999892700000004</v>
      </c>
      <c r="H101">
        <v>557.88336179999999</v>
      </c>
    </row>
    <row r="102" spans="1:8" x14ac:dyDescent="0.25">
      <c r="A102">
        <v>1.009999275</v>
      </c>
      <c r="B102">
        <v>1987.2847899999999</v>
      </c>
      <c r="D102">
        <v>1.009999275</v>
      </c>
      <c r="E102">
        <v>708.03301999999996</v>
      </c>
      <c r="G102">
        <v>1.009999275</v>
      </c>
      <c r="H102">
        <v>-190.7862701</v>
      </c>
    </row>
    <row r="103" spans="1:8" x14ac:dyDescent="0.25">
      <c r="A103">
        <v>1.0199991470000001</v>
      </c>
      <c r="B103">
        <v>3127.729981</v>
      </c>
      <c r="D103">
        <v>1.0199991470000001</v>
      </c>
      <c r="E103">
        <v>-11166.27637</v>
      </c>
      <c r="G103">
        <v>1.0199991470000001</v>
      </c>
      <c r="H103">
        <v>-7085.78125</v>
      </c>
    </row>
    <row r="104" spans="1:8" x14ac:dyDescent="0.25">
      <c r="A104">
        <v>1.029999018</v>
      </c>
      <c r="B104">
        <v>3403.9135740000002</v>
      </c>
      <c r="D104">
        <v>1.029999018</v>
      </c>
      <c r="E104">
        <v>-21500.646479999999</v>
      </c>
      <c r="G104">
        <v>1.029999018</v>
      </c>
      <c r="H104">
        <v>-14543.575199999999</v>
      </c>
    </row>
    <row r="105" spans="1:8" x14ac:dyDescent="0.25">
      <c r="A105">
        <v>1.039999366</v>
      </c>
      <c r="B105">
        <v>2256.2036130000001</v>
      </c>
      <c r="D105">
        <v>1.039999366</v>
      </c>
      <c r="E105">
        <v>-18159.007809999999</v>
      </c>
      <c r="G105">
        <v>1.039999366</v>
      </c>
      <c r="H105">
        <v>-13438.787109999999</v>
      </c>
    </row>
    <row r="106" spans="1:8" x14ac:dyDescent="0.25">
      <c r="A106">
        <v>1.049999237</v>
      </c>
      <c r="B106">
        <v>-783.03149410000003</v>
      </c>
      <c r="D106">
        <v>1.049999237</v>
      </c>
      <c r="E106">
        <v>-2731.3686520000001</v>
      </c>
      <c r="G106">
        <v>1.049999237</v>
      </c>
      <c r="H106">
        <v>-5958.6069340000004</v>
      </c>
    </row>
    <row r="107" spans="1:8" x14ac:dyDescent="0.25">
      <c r="A107">
        <v>1.059999108</v>
      </c>
      <c r="B107">
        <v>-3675.2182619999999</v>
      </c>
      <c r="D107">
        <v>1.059999108</v>
      </c>
      <c r="E107">
        <v>10915.24121</v>
      </c>
      <c r="G107">
        <v>1.059999108</v>
      </c>
      <c r="H107">
        <v>-322.87973019999998</v>
      </c>
    </row>
    <row r="108" spans="1:8" x14ac:dyDescent="0.25">
      <c r="A108">
        <v>1.06999898</v>
      </c>
      <c r="B108">
        <v>-3812.3415530000002</v>
      </c>
      <c r="D108">
        <v>1.06999898</v>
      </c>
      <c r="E108">
        <v>15427.63672</v>
      </c>
      <c r="G108">
        <v>1.06999898</v>
      </c>
      <c r="H108">
        <v>3887.5573730000001</v>
      </c>
    </row>
    <row r="109" spans="1:8" x14ac:dyDescent="0.25">
      <c r="A109">
        <v>1.079999328</v>
      </c>
      <c r="B109">
        <v>-1709.7430420000001</v>
      </c>
      <c r="D109">
        <v>1.079999328</v>
      </c>
      <c r="E109">
        <v>17291.84375</v>
      </c>
      <c r="G109">
        <v>1.079999328</v>
      </c>
      <c r="H109">
        <v>9139.09375</v>
      </c>
    </row>
    <row r="110" spans="1:8" x14ac:dyDescent="0.25">
      <c r="A110">
        <v>1.089999199</v>
      </c>
      <c r="B110">
        <v>-603.74713139999994</v>
      </c>
      <c r="D110">
        <v>1.089999199</v>
      </c>
      <c r="E110">
        <v>20364.212889999999</v>
      </c>
      <c r="G110">
        <v>1.089999199</v>
      </c>
      <c r="H110">
        <v>9151.5263670000004</v>
      </c>
    </row>
    <row r="111" spans="1:8" x14ac:dyDescent="0.25">
      <c r="A111">
        <v>1.09999907</v>
      </c>
      <c r="B111">
        <v>-640.68634029999998</v>
      </c>
      <c r="D111">
        <v>1.09999907</v>
      </c>
      <c r="E111">
        <v>14170.48047</v>
      </c>
      <c r="G111">
        <v>1.09999907</v>
      </c>
      <c r="H111">
        <v>-108.0594711</v>
      </c>
    </row>
    <row r="112" spans="1:8" x14ac:dyDescent="0.25">
      <c r="A112">
        <v>1.109998941</v>
      </c>
      <c r="B112">
        <v>569.25292969999998</v>
      </c>
      <c r="D112">
        <v>1.109998941</v>
      </c>
      <c r="E112">
        <v>-4804.0126950000003</v>
      </c>
      <c r="G112">
        <v>1.109998941</v>
      </c>
      <c r="H112">
        <v>-10102.378909999999</v>
      </c>
    </row>
    <row r="113" spans="1:8" x14ac:dyDescent="0.25">
      <c r="A113">
        <v>1.11999929</v>
      </c>
      <c r="B113">
        <v>854.04339600000003</v>
      </c>
      <c r="D113">
        <v>1.11999929</v>
      </c>
      <c r="E113">
        <v>-17087.714840000001</v>
      </c>
      <c r="G113">
        <v>1.11999929</v>
      </c>
      <c r="H113">
        <v>-11468.797850000001</v>
      </c>
    </row>
    <row r="114" spans="1:8" x14ac:dyDescent="0.25">
      <c r="A114">
        <v>1.129999161</v>
      </c>
      <c r="B114">
        <v>-1212.2947999999999</v>
      </c>
      <c r="D114">
        <v>1.129999161</v>
      </c>
      <c r="E114">
        <v>-10940.56738</v>
      </c>
      <c r="G114">
        <v>1.129999161</v>
      </c>
      <c r="H114">
        <v>-6165.4462890000004</v>
      </c>
    </row>
    <row r="115" spans="1:8" x14ac:dyDescent="0.25">
      <c r="A115">
        <v>1.139999032</v>
      </c>
      <c r="B115">
        <v>-978.36175539999999</v>
      </c>
      <c r="D115">
        <v>1.139999032</v>
      </c>
      <c r="E115">
        <v>-3604.1762699999999</v>
      </c>
      <c r="G115">
        <v>1.139999032</v>
      </c>
      <c r="H115">
        <v>-47.762149809999997</v>
      </c>
    </row>
    <row r="116" spans="1:8" x14ac:dyDescent="0.25">
      <c r="A116">
        <v>1.149998903</v>
      </c>
      <c r="B116">
        <v>2139.6140140000002</v>
      </c>
      <c r="D116">
        <v>1.149998903</v>
      </c>
      <c r="E116">
        <v>-4755.720703</v>
      </c>
      <c r="G116">
        <v>1.149998903</v>
      </c>
      <c r="H116">
        <v>4743.0385740000002</v>
      </c>
    </row>
    <row r="117" spans="1:8" x14ac:dyDescent="0.25">
      <c r="A117">
        <v>1.1599992509999999</v>
      </c>
      <c r="B117">
        <v>2688.9653320000002</v>
      </c>
      <c r="D117">
        <v>1.1599992509999999</v>
      </c>
      <c r="E117">
        <v>2575.2387699999999</v>
      </c>
      <c r="G117">
        <v>1.1599992509999999</v>
      </c>
      <c r="H117">
        <v>5346.8759769999997</v>
      </c>
    </row>
    <row r="118" spans="1:8" x14ac:dyDescent="0.25">
      <c r="A118">
        <v>1.169999123</v>
      </c>
      <c r="B118">
        <v>-48.419090269999998</v>
      </c>
      <c r="D118">
        <v>1.169999123</v>
      </c>
      <c r="E118">
        <v>20230.421880000002</v>
      </c>
      <c r="G118">
        <v>1.169999123</v>
      </c>
      <c r="H118">
        <v>-130.6459045</v>
      </c>
    </row>
    <row r="119" spans="1:8" x14ac:dyDescent="0.25">
      <c r="A119">
        <v>1.179998994</v>
      </c>
      <c r="B119">
        <v>-1972.479004</v>
      </c>
      <c r="D119">
        <v>1.179998994</v>
      </c>
      <c r="E119">
        <v>22543.871090000001</v>
      </c>
      <c r="G119">
        <v>1.179998994</v>
      </c>
      <c r="H119">
        <v>-5818.251953</v>
      </c>
    </row>
    <row r="120" spans="1:8" x14ac:dyDescent="0.25">
      <c r="A120">
        <v>1.189998865</v>
      </c>
      <c r="B120">
        <v>-2918.2304690000001</v>
      </c>
      <c r="D120">
        <v>1.189998865</v>
      </c>
      <c r="E120">
        <v>4964.3344729999999</v>
      </c>
      <c r="G120">
        <v>1.189998865</v>
      </c>
      <c r="H120">
        <v>-4278.0258789999998</v>
      </c>
    </row>
    <row r="121" spans="1:8" x14ac:dyDescent="0.25">
      <c r="A121">
        <v>1.1999992129999999</v>
      </c>
      <c r="B121">
        <v>-5060.5625</v>
      </c>
      <c r="D121">
        <v>1.1999992129999999</v>
      </c>
      <c r="E121">
        <v>-4749.0048829999996</v>
      </c>
      <c r="G121">
        <v>1.1999992129999999</v>
      </c>
      <c r="H121">
        <v>1911.3115230000001</v>
      </c>
    </row>
    <row r="122" spans="1:8" x14ac:dyDescent="0.25">
      <c r="A122">
        <v>1.209999085</v>
      </c>
      <c r="B122">
        <v>-5238.2124020000001</v>
      </c>
      <c r="D122">
        <v>1.209999085</v>
      </c>
      <c r="E122">
        <v>2816.4060060000002</v>
      </c>
      <c r="G122">
        <v>1.209999085</v>
      </c>
      <c r="H122">
        <v>3974.8691410000001</v>
      </c>
    </row>
    <row r="123" spans="1:8" x14ac:dyDescent="0.25">
      <c r="A123">
        <v>1.219998956</v>
      </c>
      <c r="B123">
        <v>-67.636932369999997</v>
      </c>
      <c r="D123">
        <v>1.219998956</v>
      </c>
      <c r="E123">
        <v>5640.0561520000001</v>
      </c>
      <c r="G123">
        <v>1.219998956</v>
      </c>
      <c r="H123">
        <v>1203.8743899999999</v>
      </c>
    </row>
    <row r="124" spans="1:8" x14ac:dyDescent="0.25">
      <c r="A124">
        <v>1.229998827</v>
      </c>
      <c r="B124">
        <v>5426.810547</v>
      </c>
      <c r="D124">
        <v>1.229998827</v>
      </c>
      <c r="E124">
        <v>-5116.5200199999999</v>
      </c>
      <c r="G124">
        <v>1.229998827</v>
      </c>
      <c r="H124">
        <v>231.37239080000001</v>
      </c>
    </row>
    <row r="125" spans="1:8" x14ac:dyDescent="0.25">
      <c r="A125">
        <v>1.2399991749999999</v>
      </c>
      <c r="B125">
        <v>5360.7373049999997</v>
      </c>
      <c r="D125">
        <v>1.2399991749999999</v>
      </c>
      <c r="E125">
        <v>-13749.44629</v>
      </c>
      <c r="G125">
        <v>1.2399991749999999</v>
      </c>
      <c r="H125">
        <v>1618.299561</v>
      </c>
    </row>
    <row r="126" spans="1:8" x14ac:dyDescent="0.25">
      <c r="A126">
        <v>1.2499990459999999</v>
      </c>
      <c r="B126">
        <v>1651.0242920000001</v>
      </c>
      <c r="D126">
        <v>1.2499990459999999</v>
      </c>
      <c r="E126">
        <v>-11266.452149999999</v>
      </c>
      <c r="G126">
        <v>1.2499990459999999</v>
      </c>
      <c r="H126">
        <v>697.65869139999995</v>
      </c>
    </row>
    <row r="127" spans="1:8" x14ac:dyDescent="0.25">
      <c r="A127">
        <v>1.259998918</v>
      </c>
      <c r="B127">
        <v>-1760.122803</v>
      </c>
      <c r="D127">
        <v>1.259998918</v>
      </c>
      <c r="E127">
        <v>-1580.9785159999999</v>
      </c>
      <c r="G127">
        <v>1.259998918</v>
      </c>
      <c r="H127">
        <v>-2289.9736330000001</v>
      </c>
    </row>
    <row r="128" spans="1:8" x14ac:dyDescent="0.25">
      <c r="A128">
        <v>1.269998789</v>
      </c>
      <c r="B128">
        <v>-3412.5795899999998</v>
      </c>
      <c r="D128">
        <v>1.269998789</v>
      </c>
      <c r="E128">
        <v>10393.54883</v>
      </c>
      <c r="G128">
        <v>1.269998789</v>
      </c>
      <c r="H128">
        <v>-3761.4692380000001</v>
      </c>
    </row>
    <row r="129" spans="1:8" x14ac:dyDescent="0.25">
      <c r="A129">
        <v>1.2799991369999999</v>
      </c>
      <c r="B129">
        <v>-3484.2687989999999</v>
      </c>
      <c r="D129">
        <v>1.2799991369999999</v>
      </c>
      <c r="E129">
        <v>17202.166020000001</v>
      </c>
      <c r="G129">
        <v>1.2799991369999999</v>
      </c>
      <c r="H129">
        <v>-1743.1904300000001</v>
      </c>
    </row>
    <row r="130" spans="1:8" x14ac:dyDescent="0.25">
      <c r="A130">
        <v>1.2899990079999999</v>
      </c>
      <c r="B130">
        <v>-4005.561768</v>
      </c>
      <c r="D130">
        <v>1.2899990079999999</v>
      </c>
      <c r="E130">
        <v>13942.08887</v>
      </c>
      <c r="G130">
        <v>1.2899990079999999</v>
      </c>
      <c r="H130">
        <v>3194.4311520000001</v>
      </c>
    </row>
    <row r="131" spans="1:8" x14ac:dyDescent="0.25">
      <c r="A131">
        <v>1.2999988790000001</v>
      </c>
      <c r="B131">
        <v>-3573.2929690000001</v>
      </c>
      <c r="D131">
        <v>1.2999988790000001</v>
      </c>
      <c r="E131">
        <v>6990.6025390000004</v>
      </c>
      <c r="G131">
        <v>1.2999988790000001</v>
      </c>
      <c r="H131">
        <v>6850.1342770000001</v>
      </c>
    </row>
    <row r="132" spans="1:8" x14ac:dyDescent="0.25">
      <c r="A132">
        <v>1.309998751</v>
      </c>
      <c r="B132">
        <v>1825.44812</v>
      </c>
      <c r="D132">
        <v>1.309998751</v>
      </c>
      <c r="E132">
        <v>2685.3647460000002</v>
      </c>
      <c r="G132">
        <v>1.309998751</v>
      </c>
      <c r="H132">
        <v>6439.3212890000004</v>
      </c>
    </row>
    <row r="133" spans="1:8" x14ac:dyDescent="0.25">
      <c r="A133">
        <v>1.3199990989999999</v>
      </c>
      <c r="B133">
        <v>6406.9589839999999</v>
      </c>
      <c r="D133">
        <v>1.3199990989999999</v>
      </c>
      <c r="E133">
        <v>-1143.6898189999999</v>
      </c>
      <c r="G133">
        <v>1.3199990989999999</v>
      </c>
      <c r="H133">
        <v>4384.5273440000001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FF00"/>
  </sheetPr>
  <dimension ref="A1:F133"/>
  <sheetViews>
    <sheetView zoomScale="153" workbookViewId="0">
      <selection activeCell="A4" sqref="A4:B133"/>
    </sheetView>
  </sheetViews>
  <sheetFormatPr defaultRowHeight="15" x14ac:dyDescent="0.25"/>
  <sheetData>
    <row r="1" spans="1:6" x14ac:dyDescent="0.25">
      <c r="A1" t="s">
        <v>5</v>
      </c>
    </row>
    <row r="2" spans="1:6" x14ac:dyDescent="0.25">
      <c r="A2" s="1" t="s">
        <v>3</v>
      </c>
      <c r="B2" t="s">
        <v>4</v>
      </c>
      <c r="D2" t="s">
        <v>6</v>
      </c>
      <c r="F2" t="s">
        <v>7</v>
      </c>
    </row>
    <row r="4" spans="1:6" x14ac:dyDescent="0.25">
      <c r="A4">
        <v>2.999959E-2</v>
      </c>
      <c r="B4">
        <v>-10211.516600000001</v>
      </c>
      <c r="D4">
        <f>((B4+B3)/2)*0.01+D3</f>
        <v>-51.057583000000008</v>
      </c>
      <c r="F4">
        <f>((D4+D3)/2)*0.01+F3</f>
        <v>-0.25528791500000003</v>
      </c>
    </row>
    <row r="5" spans="1:6" x14ac:dyDescent="0.25">
      <c r="A5">
        <v>3.9999958000000002E-2</v>
      </c>
      <c r="B5">
        <v>-6416.783203</v>
      </c>
      <c r="D5">
        <f t="shared" ref="D5:D68" si="0">((B5+B4)/2)*0.01+D4</f>
        <v>-134.19908201500002</v>
      </c>
      <c r="F5">
        <f t="shared" ref="F5:F68" si="1">((D5+D4)/2)*0.01+F4</f>
        <v>-1.1815712400750003</v>
      </c>
    </row>
    <row r="6" spans="1:6" x14ac:dyDescent="0.25">
      <c r="A6">
        <v>4.9999818000000001E-2</v>
      </c>
      <c r="B6">
        <v>-642.87426760000005</v>
      </c>
      <c r="D6">
        <f t="shared" si="0"/>
        <v>-169.49736936800002</v>
      </c>
      <c r="F6">
        <f t="shared" si="1"/>
        <v>-2.7000534969900007</v>
      </c>
    </row>
    <row r="7" spans="1:6" x14ac:dyDescent="0.25">
      <c r="A7">
        <v>5.9999681999999999E-2</v>
      </c>
      <c r="B7">
        <v>-1929.0867920000001</v>
      </c>
      <c r="D7">
        <f t="shared" si="0"/>
        <v>-182.35717466600002</v>
      </c>
      <c r="F7">
        <f t="shared" si="1"/>
        <v>-4.459326217160001</v>
      </c>
    </row>
    <row r="8" spans="1:6" x14ac:dyDescent="0.25">
      <c r="A8">
        <v>6.9999545999999996E-2</v>
      </c>
      <c r="B8">
        <v>-3346.3098150000001</v>
      </c>
      <c r="D8">
        <f t="shared" si="0"/>
        <v>-208.73415770100002</v>
      </c>
      <c r="F8">
        <f t="shared" si="1"/>
        <v>-6.4147828789950019</v>
      </c>
    </row>
    <row r="9" spans="1:6" x14ac:dyDescent="0.25">
      <c r="A9">
        <v>7.9999916000000004E-2</v>
      </c>
      <c r="B9">
        <v>-2982.7238769999999</v>
      </c>
      <c r="D9">
        <f t="shared" si="0"/>
        <v>-240.37932616100002</v>
      </c>
      <c r="F9">
        <f t="shared" si="1"/>
        <v>-8.6603502983050014</v>
      </c>
    </row>
    <row r="10" spans="1:6" x14ac:dyDescent="0.25">
      <c r="A10">
        <v>8.9999773000000005E-2</v>
      </c>
      <c r="B10">
        <v>-638.06988530000001</v>
      </c>
      <c r="D10">
        <f t="shared" si="0"/>
        <v>-258.4832949725</v>
      </c>
      <c r="F10">
        <f t="shared" si="1"/>
        <v>-11.154663403972503</v>
      </c>
    </row>
    <row r="11" spans="1:6" x14ac:dyDescent="0.25">
      <c r="A11">
        <v>9.9999636000000003E-2</v>
      </c>
      <c r="B11">
        <v>-169.1958008</v>
      </c>
      <c r="D11">
        <f t="shared" si="0"/>
        <v>-262.51962340300003</v>
      </c>
      <c r="F11">
        <f t="shared" si="1"/>
        <v>-13.759677995850003</v>
      </c>
    </row>
    <row r="12" spans="1:6" x14ac:dyDescent="0.25">
      <c r="A12">
        <v>0.1099995</v>
      </c>
      <c r="B12">
        <v>-4190.0400390000004</v>
      </c>
      <c r="D12">
        <f t="shared" si="0"/>
        <v>-284.31580260200002</v>
      </c>
      <c r="F12">
        <f t="shared" si="1"/>
        <v>-16.493855125875005</v>
      </c>
    </row>
    <row r="13" spans="1:6" x14ac:dyDescent="0.25">
      <c r="A13">
        <v>0.11999987099999999</v>
      </c>
      <c r="B13">
        <v>-7143.4604490000002</v>
      </c>
      <c r="D13">
        <f t="shared" si="0"/>
        <v>-340.98330504200004</v>
      </c>
      <c r="F13">
        <f t="shared" si="1"/>
        <v>-19.620350664095007</v>
      </c>
    </row>
    <row r="14" spans="1:6" x14ac:dyDescent="0.25">
      <c r="A14">
        <v>0.12999972700000001</v>
      </c>
      <c r="B14">
        <v>-6372.798828</v>
      </c>
      <c r="D14">
        <f t="shared" si="0"/>
        <v>-408.56460142700007</v>
      </c>
      <c r="F14">
        <f t="shared" si="1"/>
        <v>-23.368090196440008</v>
      </c>
    </row>
    <row r="15" spans="1:6" x14ac:dyDescent="0.25">
      <c r="A15">
        <v>0.139999598</v>
      </c>
      <c r="B15">
        <v>-6417.3388670000004</v>
      </c>
      <c r="D15">
        <f t="shared" si="0"/>
        <v>-472.51528990200006</v>
      </c>
      <c r="F15">
        <f t="shared" si="1"/>
        <v>-27.773489653085008</v>
      </c>
    </row>
    <row r="16" spans="1:6" x14ac:dyDescent="0.25">
      <c r="A16">
        <v>0.14999996099999999</v>
      </c>
      <c r="B16">
        <v>-8309.7421880000002</v>
      </c>
      <c r="D16">
        <f t="shared" si="0"/>
        <v>-546.1506951770001</v>
      </c>
      <c r="F16">
        <f t="shared" si="1"/>
        <v>-32.866819578480012</v>
      </c>
    </row>
    <row r="17" spans="1:6" x14ac:dyDescent="0.25">
      <c r="A17">
        <v>0.15999983300000001</v>
      </c>
      <c r="B17">
        <v>-10312.32422</v>
      </c>
      <c r="D17">
        <f t="shared" si="0"/>
        <v>-639.26102721700011</v>
      </c>
      <c r="F17">
        <f t="shared" si="1"/>
        <v>-38.793878190450016</v>
      </c>
    </row>
    <row r="18" spans="1:6" x14ac:dyDescent="0.25">
      <c r="A18">
        <v>0.16999968900000001</v>
      </c>
      <c r="B18">
        <v>-11707.64258</v>
      </c>
      <c r="D18">
        <f t="shared" si="0"/>
        <v>-749.36086121700009</v>
      </c>
      <c r="F18">
        <f t="shared" si="1"/>
        <v>-45.736987632620014</v>
      </c>
    </row>
    <row r="19" spans="1:6" x14ac:dyDescent="0.25">
      <c r="A19">
        <v>0.17999954500000001</v>
      </c>
      <c r="B19">
        <v>-8426.9248050000006</v>
      </c>
      <c r="D19">
        <f t="shared" si="0"/>
        <v>-850.03369814200005</v>
      </c>
      <c r="F19">
        <f t="shared" si="1"/>
        <v>-53.733960429415013</v>
      </c>
    </row>
    <row r="20" spans="1:6" x14ac:dyDescent="0.25">
      <c r="A20">
        <v>0.18999992299999999</v>
      </c>
      <c r="B20">
        <v>1135.8443600000001</v>
      </c>
      <c r="D20">
        <f t="shared" si="0"/>
        <v>-886.48910036699999</v>
      </c>
      <c r="F20">
        <f t="shared" si="1"/>
        <v>-62.416574421960014</v>
      </c>
    </row>
    <row r="21" spans="1:6" x14ac:dyDescent="0.25">
      <c r="A21">
        <v>0.19999977899999999</v>
      </c>
      <c r="B21">
        <v>7948.2236329999996</v>
      </c>
      <c r="D21">
        <f t="shared" si="0"/>
        <v>-841.06876040199995</v>
      </c>
      <c r="F21">
        <f t="shared" si="1"/>
        <v>-71.054363725805018</v>
      </c>
    </row>
    <row r="22" spans="1:6" x14ac:dyDescent="0.25">
      <c r="A22">
        <v>0.20999965100000001</v>
      </c>
      <c r="B22">
        <v>3423.9379880000001</v>
      </c>
      <c r="D22">
        <f t="shared" si="0"/>
        <v>-784.20795229699991</v>
      </c>
      <c r="F22">
        <f t="shared" si="1"/>
        <v>-79.180747289300015</v>
      </c>
    </row>
    <row r="23" spans="1:6" x14ac:dyDescent="0.25">
      <c r="A23">
        <v>0.22000001399999999</v>
      </c>
      <c r="B23">
        <v>-8408.1171880000002</v>
      </c>
      <c r="D23">
        <f t="shared" si="0"/>
        <v>-809.12884829699988</v>
      </c>
      <c r="F23">
        <f t="shared" si="1"/>
        <v>-87.147431292270014</v>
      </c>
    </row>
    <row r="24" spans="1:6" x14ac:dyDescent="0.25">
      <c r="A24">
        <v>0.22999987</v>
      </c>
      <c r="B24">
        <v>-17744.921880000002</v>
      </c>
      <c r="D24">
        <f t="shared" si="0"/>
        <v>-939.89404363699987</v>
      </c>
      <c r="F24">
        <f t="shared" si="1"/>
        <v>-95.89254575194002</v>
      </c>
    </row>
    <row r="25" spans="1:6" x14ac:dyDescent="0.25">
      <c r="A25">
        <v>0.23999974099999999</v>
      </c>
      <c r="B25">
        <v>-18893.527340000001</v>
      </c>
      <c r="D25">
        <f t="shared" si="0"/>
        <v>-1123.0862897369998</v>
      </c>
      <c r="F25">
        <f t="shared" si="1"/>
        <v>-106.20744741881002</v>
      </c>
    </row>
    <row r="26" spans="1:6" x14ac:dyDescent="0.25">
      <c r="A26">
        <v>0.24999959799999999</v>
      </c>
      <c r="B26">
        <v>-12237.64941</v>
      </c>
      <c r="D26">
        <f t="shared" si="0"/>
        <v>-1278.7421734869997</v>
      </c>
      <c r="F26">
        <f t="shared" si="1"/>
        <v>-118.21658973493001</v>
      </c>
    </row>
    <row r="27" spans="1:6" x14ac:dyDescent="0.25">
      <c r="A27">
        <v>0.259999961</v>
      </c>
      <c r="B27">
        <v>-4051.3566900000001</v>
      </c>
      <c r="D27">
        <f t="shared" si="0"/>
        <v>-1360.1872039869997</v>
      </c>
      <c r="F27">
        <f t="shared" si="1"/>
        <v>-131.41123662230001</v>
      </c>
    </row>
    <row r="28" spans="1:6" x14ac:dyDescent="0.25">
      <c r="A28">
        <v>0.269999832</v>
      </c>
      <c r="B28">
        <v>172.52528380000001</v>
      </c>
      <c r="D28">
        <f t="shared" si="0"/>
        <v>-1379.5813610179998</v>
      </c>
      <c r="F28">
        <f t="shared" si="1"/>
        <v>-145.11007944732501</v>
      </c>
    </row>
    <row r="29" spans="1:6" x14ac:dyDescent="0.25">
      <c r="A29">
        <v>0.27999970299999999</v>
      </c>
      <c r="B29">
        <v>2239.945068</v>
      </c>
      <c r="D29">
        <f t="shared" si="0"/>
        <v>-1367.5190092589999</v>
      </c>
      <c r="F29">
        <f t="shared" si="1"/>
        <v>-158.84558129871002</v>
      </c>
    </row>
    <row r="30" spans="1:6" x14ac:dyDescent="0.25">
      <c r="A30">
        <v>0.28999954500000003</v>
      </c>
      <c r="B30">
        <v>2954.7861330000001</v>
      </c>
      <c r="D30">
        <f t="shared" si="0"/>
        <v>-1341.5453532539998</v>
      </c>
      <c r="F30">
        <f t="shared" si="1"/>
        <v>-172.39090311127501</v>
      </c>
    </row>
    <row r="31" spans="1:6" x14ac:dyDescent="0.25">
      <c r="A31">
        <v>0.299999923</v>
      </c>
      <c r="B31">
        <v>-2122.8515630000002</v>
      </c>
      <c r="D31">
        <f t="shared" si="0"/>
        <v>-1337.3856804039997</v>
      </c>
      <c r="F31">
        <f t="shared" si="1"/>
        <v>-185.78555827956501</v>
      </c>
    </row>
    <row r="32" spans="1:6" x14ac:dyDescent="0.25">
      <c r="A32">
        <v>0.309999794</v>
      </c>
      <c r="B32">
        <v>-11089.414059999999</v>
      </c>
      <c r="D32">
        <f t="shared" si="0"/>
        <v>-1403.4470085189996</v>
      </c>
      <c r="F32">
        <f t="shared" si="1"/>
        <v>-199.48972172418001</v>
      </c>
    </row>
    <row r="33" spans="1:6" x14ac:dyDescent="0.25">
      <c r="A33">
        <v>0.31999966499999999</v>
      </c>
      <c r="B33">
        <v>-15159.07617</v>
      </c>
      <c r="D33">
        <f t="shared" si="0"/>
        <v>-1534.6894596689997</v>
      </c>
      <c r="F33">
        <f t="shared" si="1"/>
        <v>-214.18040406512</v>
      </c>
    </row>
    <row r="34" spans="1:6" x14ac:dyDescent="0.25">
      <c r="A34">
        <v>0.329999506</v>
      </c>
      <c r="B34">
        <v>-10922.58203</v>
      </c>
      <c r="D34">
        <f t="shared" si="0"/>
        <v>-1665.0977506689997</v>
      </c>
      <c r="F34">
        <f t="shared" si="1"/>
        <v>-230.17934011681001</v>
      </c>
    </row>
    <row r="35" spans="1:6" x14ac:dyDescent="0.25">
      <c r="A35">
        <v>0.33999988399999997</v>
      </c>
      <c r="B35">
        <v>-2406.882568</v>
      </c>
      <c r="D35">
        <f t="shared" si="0"/>
        <v>-1731.7450736589997</v>
      </c>
      <c r="F35">
        <f t="shared" si="1"/>
        <v>-247.16355423845002</v>
      </c>
    </row>
    <row r="36" spans="1:6" x14ac:dyDescent="0.25">
      <c r="A36">
        <v>0.349999756</v>
      </c>
      <c r="B36">
        <v>3989.2883299999999</v>
      </c>
      <c r="D36">
        <f t="shared" si="0"/>
        <v>-1723.8330448489996</v>
      </c>
      <c r="F36">
        <f t="shared" si="1"/>
        <v>-264.44144483099001</v>
      </c>
    </row>
    <row r="37" spans="1:6" x14ac:dyDescent="0.25">
      <c r="A37">
        <v>0.359999597</v>
      </c>
      <c r="B37">
        <v>3844.7683109999998</v>
      </c>
      <c r="D37">
        <f t="shared" si="0"/>
        <v>-1684.6627616439996</v>
      </c>
      <c r="F37">
        <f t="shared" si="1"/>
        <v>-281.483923863455</v>
      </c>
    </row>
    <row r="38" spans="1:6" x14ac:dyDescent="0.25">
      <c r="A38">
        <v>0.369999468</v>
      </c>
      <c r="B38">
        <v>-2302.3684079999998</v>
      </c>
      <c r="D38">
        <f t="shared" si="0"/>
        <v>-1676.9507621289997</v>
      </c>
      <c r="F38">
        <f t="shared" si="1"/>
        <v>-298.29199148231999</v>
      </c>
    </row>
    <row r="39" spans="1:6" x14ac:dyDescent="0.25">
      <c r="A39">
        <v>0.37999984599999997</v>
      </c>
      <c r="B39">
        <v>-10388.11816</v>
      </c>
      <c r="D39">
        <f t="shared" si="0"/>
        <v>-1740.4031949689997</v>
      </c>
      <c r="F39">
        <f t="shared" si="1"/>
        <v>-315.37876126780998</v>
      </c>
    </row>
    <row r="40" spans="1:6" x14ac:dyDescent="0.25">
      <c r="A40">
        <v>0.38999968800000001</v>
      </c>
      <c r="B40">
        <v>-14907.00684</v>
      </c>
      <c r="D40">
        <f t="shared" si="0"/>
        <v>-1866.8788199689998</v>
      </c>
      <c r="F40">
        <f t="shared" si="1"/>
        <v>-333.4151713425</v>
      </c>
    </row>
    <row r="41" spans="1:6" x14ac:dyDescent="0.25">
      <c r="A41">
        <v>0.399999559</v>
      </c>
      <c r="B41">
        <v>-12474.1543</v>
      </c>
      <c r="D41">
        <f t="shared" si="0"/>
        <v>-2003.7846256689998</v>
      </c>
      <c r="F41">
        <f t="shared" si="1"/>
        <v>-352.76848857069001</v>
      </c>
    </row>
    <row r="42" spans="1:6" x14ac:dyDescent="0.25">
      <c r="A42">
        <v>0.40999943</v>
      </c>
      <c r="B42">
        <v>-5891.9643560000004</v>
      </c>
      <c r="D42">
        <f t="shared" si="0"/>
        <v>-2095.6152189489999</v>
      </c>
      <c r="F42">
        <f t="shared" si="1"/>
        <v>-373.26548779377998</v>
      </c>
    </row>
    <row r="43" spans="1:6" x14ac:dyDescent="0.25">
      <c r="A43">
        <v>0.41999980799999997</v>
      </c>
      <c r="B43">
        <v>-81.626029970000005</v>
      </c>
      <c r="D43">
        <f t="shared" si="0"/>
        <v>-2125.4831708788497</v>
      </c>
      <c r="F43">
        <f t="shared" si="1"/>
        <v>-394.37097974291925</v>
      </c>
    </row>
    <row r="44" spans="1:6" x14ac:dyDescent="0.25">
      <c r="A44">
        <v>0.42999965000000001</v>
      </c>
      <c r="B44">
        <v>2309.16626</v>
      </c>
      <c r="D44">
        <f t="shared" si="0"/>
        <v>-2114.3454697286998</v>
      </c>
      <c r="F44">
        <f t="shared" si="1"/>
        <v>-415.570122945957</v>
      </c>
    </row>
    <row r="45" spans="1:6" x14ac:dyDescent="0.25">
      <c r="A45">
        <v>0.439999521</v>
      </c>
      <c r="B45">
        <v>-418.89129639999999</v>
      </c>
      <c r="D45">
        <f t="shared" si="0"/>
        <v>-2104.8940949106996</v>
      </c>
      <c r="F45">
        <f t="shared" si="1"/>
        <v>-436.66632076915397</v>
      </c>
    </row>
    <row r="46" spans="1:6" x14ac:dyDescent="0.25">
      <c r="A46">
        <v>0.449999392</v>
      </c>
      <c r="B46">
        <v>-6659.4755859999996</v>
      </c>
      <c r="D46">
        <f t="shared" si="0"/>
        <v>-2140.2859293226998</v>
      </c>
      <c r="F46">
        <f t="shared" si="1"/>
        <v>-457.89222089032097</v>
      </c>
    </row>
    <row r="47" spans="1:6" x14ac:dyDescent="0.25">
      <c r="A47">
        <v>0.45999973999999999</v>
      </c>
      <c r="B47">
        <v>-10561.89453</v>
      </c>
      <c r="D47">
        <f t="shared" si="0"/>
        <v>-2226.3927799026997</v>
      </c>
      <c r="F47">
        <f t="shared" si="1"/>
        <v>-479.72561443644798</v>
      </c>
    </row>
    <row r="48" spans="1:6" x14ac:dyDescent="0.25">
      <c r="A48">
        <v>0.46999961099999998</v>
      </c>
      <c r="B48">
        <v>-9937.8876949999994</v>
      </c>
      <c r="D48">
        <f t="shared" si="0"/>
        <v>-2328.8916910276998</v>
      </c>
      <c r="F48">
        <f t="shared" si="1"/>
        <v>-502.50203679109995</v>
      </c>
    </row>
    <row r="49" spans="1:6" x14ac:dyDescent="0.25">
      <c r="A49">
        <v>0.479999483</v>
      </c>
      <c r="B49">
        <v>-9130.9306639999995</v>
      </c>
      <c r="D49">
        <f t="shared" si="0"/>
        <v>-2424.2357828227</v>
      </c>
      <c r="F49">
        <f t="shared" si="1"/>
        <v>-526.26767416035193</v>
      </c>
    </row>
    <row r="50" spans="1:6" x14ac:dyDescent="0.25">
      <c r="A50">
        <v>0.489999354</v>
      </c>
      <c r="B50">
        <v>-10375.87695</v>
      </c>
      <c r="D50">
        <f t="shared" si="0"/>
        <v>-2521.7698208927</v>
      </c>
      <c r="F50">
        <f t="shared" si="1"/>
        <v>-550.99770217892888</v>
      </c>
    </row>
    <row r="51" spans="1:6" x14ac:dyDescent="0.25">
      <c r="A51">
        <v>0.49999970199999999</v>
      </c>
      <c r="B51">
        <v>-9895.8691409999992</v>
      </c>
      <c r="D51">
        <f t="shared" si="0"/>
        <v>-2623.1285513477001</v>
      </c>
      <c r="F51">
        <f t="shared" si="1"/>
        <v>-576.72219404013083</v>
      </c>
    </row>
    <row r="52" spans="1:6" x14ac:dyDescent="0.25">
      <c r="A52">
        <v>0.50999957299999998</v>
      </c>
      <c r="B52">
        <v>-5393.9653319999998</v>
      </c>
      <c r="D52">
        <f t="shared" si="0"/>
        <v>-2699.5777237126999</v>
      </c>
      <c r="F52">
        <f t="shared" si="1"/>
        <v>-603.33572541543288</v>
      </c>
    </row>
    <row r="53" spans="1:6" x14ac:dyDescent="0.25">
      <c r="A53">
        <v>0.51999944399999998</v>
      </c>
      <c r="B53">
        <v>120.2731934</v>
      </c>
      <c r="D53">
        <f t="shared" si="0"/>
        <v>-2725.9461844057</v>
      </c>
      <c r="F53">
        <f t="shared" si="1"/>
        <v>-630.46334495602491</v>
      </c>
    </row>
    <row r="54" spans="1:6" x14ac:dyDescent="0.25">
      <c r="A54">
        <v>0.529999793</v>
      </c>
      <c r="B54">
        <v>2980.3420409999999</v>
      </c>
      <c r="D54">
        <f t="shared" si="0"/>
        <v>-2710.4431082337001</v>
      </c>
      <c r="F54">
        <f t="shared" si="1"/>
        <v>-657.64529141922196</v>
      </c>
    </row>
    <row r="55" spans="1:6" x14ac:dyDescent="0.25">
      <c r="A55">
        <v>0.53999966399999999</v>
      </c>
      <c r="B55">
        <v>1063.584351</v>
      </c>
      <c r="D55">
        <f t="shared" si="0"/>
        <v>-2690.2234762737003</v>
      </c>
      <c r="F55">
        <f t="shared" si="1"/>
        <v>-684.64862434175893</v>
      </c>
    </row>
    <row r="56" spans="1:6" x14ac:dyDescent="0.25">
      <c r="A56">
        <v>0.54999953499999998</v>
      </c>
      <c r="B56">
        <v>-4799.1464839999999</v>
      </c>
      <c r="D56">
        <f t="shared" si="0"/>
        <v>-2708.9012869387002</v>
      </c>
      <c r="F56">
        <f t="shared" si="1"/>
        <v>-711.64424815782093</v>
      </c>
    </row>
    <row r="57" spans="1:6" x14ac:dyDescent="0.25">
      <c r="A57">
        <v>0.55999940599999998</v>
      </c>
      <c r="B57">
        <v>-8421.9707030000009</v>
      </c>
      <c r="D57">
        <f t="shared" si="0"/>
        <v>-2775.0068728737001</v>
      </c>
      <c r="F57">
        <f t="shared" si="1"/>
        <v>-739.06378895688295</v>
      </c>
    </row>
    <row r="58" spans="1:6" x14ac:dyDescent="0.25">
      <c r="A58">
        <v>0.56999975400000003</v>
      </c>
      <c r="B58">
        <v>-5659.0659180000002</v>
      </c>
      <c r="D58">
        <f t="shared" si="0"/>
        <v>-2845.4120559787002</v>
      </c>
      <c r="F58">
        <f t="shared" si="1"/>
        <v>-767.16588360114497</v>
      </c>
    </row>
    <row r="59" spans="1:6" x14ac:dyDescent="0.25">
      <c r="A59">
        <v>0.57999962599999999</v>
      </c>
      <c r="B59">
        <v>-1555.473023</v>
      </c>
      <c r="D59">
        <f t="shared" si="0"/>
        <v>-2881.4847506837004</v>
      </c>
      <c r="F59">
        <f t="shared" si="1"/>
        <v>-795.80036763445696</v>
      </c>
    </row>
    <row r="60" spans="1:6" x14ac:dyDescent="0.25">
      <c r="A60">
        <v>0.58999949699999998</v>
      </c>
      <c r="B60">
        <v>-1766.9677730000001</v>
      </c>
      <c r="D60">
        <f t="shared" si="0"/>
        <v>-2898.0969546637002</v>
      </c>
      <c r="F60">
        <f t="shared" si="1"/>
        <v>-824.69827616119392</v>
      </c>
    </row>
    <row r="61" spans="1:6" x14ac:dyDescent="0.25">
      <c r="A61">
        <v>0.59999936799999998</v>
      </c>
      <c r="B61">
        <v>-5171.4985349999997</v>
      </c>
      <c r="D61">
        <f t="shared" si="0"/>
        <v>-2932.7892862037002</v>
      </c>
      <c r="F61">
        <f t="shared" si="1"/>
        <v>-853.85270736553093</v>
      </c>
    </row>
    <row r="62" spans="1:6" x14ac:dyDescent="0.25">
      <c r="A62">
        <v>0.60999971600000003</v>
      </c>
      <c r="B62">
        <v>-8989.3789059999999</v>
      </c>
      <c r="D62">
        <f t="shared" si="0"/>
        <v>-3003.5936734086999</v>
      </c>
      <c r="F62">
        <f t="shared" si="1"/>
        <v>-883.53462216359299</v>
      </c>
    </row>
    <row r="63" spans="1:6" x14ac:dyDescent="0.25">
      <c r="A63">
        <v>0.61999958799999999</v>
      </c>
      <c r="B63">
        <v>-11508.969730000001</v>
      </c>
      <c r="D63">
        <f t="shared" si="0"/>
        <v>-3106.0854165886999</v>
      </c>
      <c r="F63">
        <f t="shared" si="1"/>
        <v>-914.08301761357995</v>
      </c>
    </row>
    <row r="64" spans="1:6" x14ac:dyDescent="0.25">
      <c r="A64">
        <v>0.62999945899999998</v>
      </c>
      <c r="B64">
        <v>-10417.57422</v>
      </c>
      <c r="D64">
        <f t="shared" si="0"/>
        <v>-3215.7181363386999</v>
      </c>
      <c r="F64">
        <f t="shared" si="1"/>
        <v>-945.69203537821693</v>
      </c>
    </row>
    <row r="65" spans="1:6" x14ac:dyDescent="0.25">
      <c r="A65">
        <v>0.63999932999999998</v>
      </c>
      <c r="B65">
        <v>-4673.640625</v>
      </c>
      <c r="D65">
        <f t="shared" si="0"/>
        <v>-3291.1742105636999</v>
      </c>
      <c r="F65">
        <f t="shared" si="1"/>
        <v>-978.22649711272891</v>
      </c>
    </row>
    <row r="66" spans="1:6" x14ac:dyDescent="0.25">
      <c r="A66">
        <v>0.64999967800000003</v>
      </c>
      <c r="B66">
        <v>3448.6235350000002</v>
      </c>
      <c r="D66">
        <f t="shared" si="0"/>
        <v>-3297.2992960136999</v>
      </c>
      <c r="F66">
        <f t="shared" si="1"/>
        <v>-1011.1688646456159</v>
      </c>
    </row>
    <row r="67" spans="1:6" x14ac:dyDescent="0.25">
      <c r="A67">
        <v>0.65999954900000002</v>
      </c>
      <c r="B67">
        <v>8663.8574219999991</v>
      </c>
      <c r="D67">
        <f t="shared" si="0"/>
        <v>-3236.7368912286997</v>
      </c>
      <c r="F67">
        <f t="shared" si="1"/>
        <v>-1043.839045581828</v>
      </c>
    </row>
    <row r="68" spans="1:6" x14ac:dyDescent="0.25">
      <c r="A68">
        <v>0.66999942099999998</v>
      </c>
      <c r="B68">
        <v>6456.3393560000004</v>
      </c>
      <c r="D68">
        <f t="shared" si="0"/>
        <v>-3161.1359073386998</v>
      </c>
      <c r="F68">
        <f t="shared" si="1"/>
        <v>-1075.8284095746651</v>
      </c>
    </row>
    <row r="69" spans="1:6" x14ac:dyDescent="0.25">
      <c r="A69">
        <v>0.67999923200000001</v>
      </c>
      <c r="B69">
        <v>-1104.885376</v>
      </c>
      <c r="D69">
        <f t="shared" ref="D69:D132" si="2">((B69+B68)/2)*0.01+D68</f>
        <v>-3134.3786374386996</v>
      </c>
      <c r="F69">
        <f t="shared" ref="F69:F132" si="3">((D69+D68)/2)*0.01+F68</f>
        <v>-1107.3059822985522</v>
      </c>
    </row>
    <row r="70" spans="1:6" x14ac:dyDescent="0.25">
      <c r="A70">
        <v>0.68999964000000003</v>
      </c>
      <c r="B70">
        <v>-6951.8535160000001</v>
      </c>
      <c r="D70">
        <f t="shared" si="2"/>
        <v>-3174.6623318986994</v>
      </c>
      <c r="F70">
        <f t="shared" si="3"/>
        <v>-1138.8511871452392</v>
      </c>
    </row>
    <row r="71" spans="1:6" x14ac:dyDescent="0.25">
      <c r="A71">
        <v>0.69999951100000002</v>
      </c>
      <c r="B71">
        <v>-7377.3969729999999</v>
      </c>
      <c r="D71">
        <f t="shared" si="2"/>
        <v>-3246.3085843436993</v>
      </c>
      <c r="F71">
        <f t="shared" si="3"/>
        <v>-1170.9560417264513</v>
      </c>
    </row>
    <row r="72" spans="1:6" x14ac:dyDescent="0.25">
      <c r="A72">
        <v>0.70999938299999998</v>
      </c>
      <c r="B72">
        <v>-4572.8247069999998</v>
      </c>
      <c r="D72">
        <f t="shared" si="2"/>
        <v>-3306.0596927436991</v>
      </c>
      <c r="F72">
        <f t="shared" si="3"/>
        <v>-1203.7178831118883</v>
      </c>
    </row>
    <row r="73" spans="1:6" x14ac:dyDescent="0.25">
      <c r="A73">
        <v>0.71999919400000001</v>
      </c>
      <c r="B73">
        <v>-1018.175659</v>
      </c>
      <c r="D73">
        <f t="shared" si="2"/>
        <v>-3334.0146945736992</v>
      </c>
      <c r="F73">
        <f t="shared" si="3"/>
        <v>-1236.9182550484754</v>
      </c>
    </row>
    <row r="74" spans="1:6" x14ac:dyDescent="0.25">
      <c r="A74">
        <v>0.72999960200000003</v>
      </c>
      <c r="B74">
        <v>2166.6567380000001</v>
      </c>
      <c r="D74">
        <f t="shared" si="2"/>
        <v>-3328.2722891786993</v>
      </c>
      <c r="F74">
        <f t="shared" si="3"/>
        <v>-1270.2296899672374</v>
      </c>
    </row>
    <row r="75" spans="1:6" x14ac:dyDescent="0.25">
      <c r="A75">
        <v>0.73999947300000002</v>
      </c>
      <c r="B75">
        <v>2336.4904790000001</v>
      </c>
      <c r="D75">
        <f t="shared" si="2"/>
        <v>-3305.7565530936995</v>
      </c>
      <c r="F75">
        <f t="shared" si="3"/>
        <v>-1303.3998341785993</v>
      </c>
    </row>
    <row r="76" spans="1:6" x14ac:dyDescent="0.25">
      <c r="A76">
        <v>0.74999928500000002</v>
      </c>
      <c r="B76">
        <v>-1653.764893</v>
      </c>
      <c r="D76">
        <f t="shared" si="2"/>
        <v>-3302.3429251636994</v>
      </c>
      <c r="F76">
        <f t="shared" si="3"/>
        <v>-1336.4403315698864</v>
      </c>
    </row>
    <row r="77" spans="1:6" x14ac:dyDescent="0.25">
      <c r="A77">
        <v>0.75999915600000001</v>
      </c>
      <c r="B77">
        <v>-6481.8095700000003</v>
      </c>
      <c r="D77">
        <f t="shared" si="2"/>
        <v>-3343.0207974786995</v>
      </c>
      <c r="F77">
        <f t="shared" si="3"/>
        <v>-1369.6671501830983</v>
      </c>
    </row>
    <row r="78" spans="1:6" x14ac:dyDescent="0.25">
      <c r="A78">
        <v>0.76999956400000003</v>
      </c>
      <c r="B78">
        <v>-8173.0434569999998</v>
      </c>
      <c r="D78">
        <f t="shared" si="2"/>
        <v>-3416.2950626136994</v>
      </c>
      <c r="F78">
        <f t="shared" si="3"/>
        <v>-1403.4637294835604</v>
      </c>
    </row>
    <row r="79" spans="1:6" x14ac:dyDescent="0.25">
      <c r="A79">
        <v>0.77999937500000005</v>
      </c>
      <c r="B79">
        <v>-6282.1469729999999</v>
      </c>
      <c r="D79">
        <f t="shared" si="2"/>
        <v>-3488.5710147636996</v>
      </c>
      <c r="F79">
        <f t="shared" si="3"/>
        <v>-1437.9880598704474</v>
      </c>
    </row>
    <row r="80" spans="1:6" x14ac:dyDescent="0.25">
      <c r="A80">
        <v>0.78999924700000002</v>
      </c>
      <c r="B80">
        <v>-2999.9792480000001</v>
      </c>
      <c r="D80">
        <f t="shared" si="2"/>
        <v>-3534.9816458686996</v>
      </c>
      <c r="F80">
        <f t="shared" si="3"/>
        <v>-1473.1058231736095</v>
      </c>
    </row>
    <row r="81" spans="1:6" x14ac:dyDescent="0.25">
      <c r="A81">
        <v>0.79999911800000001</v>
      </c>
      <c r="B81">
        <v>307.24255369999997</v>
      </c>
      <c r="D81">
        <f t="shared" si="2"/>
        <v>-3548.4453293401998</v>
      </c>
      <c r="F81">
        <f t="shared" si="3"/>
        <v>-1508.5229580496539</v>
      </c>
    </row>
    <row r="82" spans="1:6" x14ac:dyDescent="0.25">
      <c r="A82">
        <v>0.80999952600000003</v>
      </c>
      <c r="B82">
        <v>3461.3852539999998</v>
      </c>
      <c r="D82">
        <f t="shared" si="2"/>
        <v>-3529.6021903016999</v>
      </c>
      <c r="F82">
        <f t="shared" si="3"/>
        <v>-1543.9131956478634</v>
      </c>
    </row>
    <row r="83" spans="1:6" x14ac:dyDescent="0.25">
      <c r="A83">
        <v>0.81999933700000005</v>
      </c>
      <c r="B83">
        <v>5543.2900390000004</v>
      </c>
      <c r="D83">
        <f t="shared" si="2"/>
        <v>-3484.5788138366997</v>
      </c>
      <c r="F83">
        <f t="shared" si="3"/>
        <v>-1578.9841006685554</v>
      </c>
    </row>
    <row r="84" spans="1:6" x14ac:dyDescent="0.25">
      <c r="A84">
        <v>0.82999920800000004</v>
      </c>
      <c r="B84">
        <v>3377.4270019999999</v>
      </c>
      <c r="D84">
        <f t="shared" si="2"/>
        <v>-3439.9752286316998</v>
      </c>
      <c r="F84">
        <f t="shared" si="3"/>
        <v>-1613.6068708808973</v>
      </c>
    </row>
    <row r="85" spans="1:6" x14ac:dyDescent="0.25">
      <c r="A85">
        <v>0.83999908000000001</v>
      </c>
      <c r="B85">
        <v>-3453.5117190000001</v>
      </c>
      <c r="D85">
        <f t="shared" si="2"/>
        <v>-3440.3556522166996</v>
      </c>
      <c r="F85">
        <f t="shared" si="3"/>
        <v>-1648.0085252851393</v>
      </c>
    </row>
    <row r="86" spans="1:6" x14ac:dyDescent="0.25">
      <c r="A86">
        <v>0.84999942799999995</v>
      </c>
      <c r="B86">
        <v>-8021.6879879999997</v>
      </c>
      <c r="D86">
        <f t="shared" si="2"/>
        <v>-3497.7316507516994</v>
      </c>
      <c r="F86">
        <f t="shared" si="3"/>
        <v>-1682.6989617999814</v>
      </c>
    </row>
    <row r="87" spans="1:6" x14ac:dyDescent="0.25">
      <c r="A87">
        <v>0.85999929900000005</v>
      </c>
      <c r="B87">
        <v>-6723.9760740000002</v>
      </c>
      <c r="D87">
        <f t="shared" si="2"/>
        <v>-3571.4599710616994</v>
      </c>
      <c r="F87">
        <f t="shared" si="3"/>
        <v>-1718.0449199090483</v>
      </c>
    </row>
    <row r="88" spans="1:6" x14ac:dyDescent="0.25">
      <c r="A88">
        <v>0.86999917000000004</v>
      </c>
      <c r="B88">
        <v>-4612.0834960000002</v>
      </c>
      <c r="D88">
        <f t="shared" si="2"/>
        <v>-3628.1402689116994</v>
      </c>
      <c r="F88">
        <f t="shared" si="3"/>
        <v>-1754.0429211089154</v>
      </c>
    </row>
    <row r="89" spans="1:6" x14ac:dyDescent="0.25">
      <c r="A89">
        <v>0.87999904200000001</v>
      </c>
      <c r="B89">
        <v>-5555.6420900000003</v>
      </c>
      <c r="D89">
        <f t="shared" si="2"/>
        <v>-3678.9788968416992</v>
      </c>
      <c r="F89">
        <f t="shared" si="3"/>
        <v>-1790.5785169376825</v>
      </c>
    </row>
    <row r="90" spans="1:6" x14ac:dyDescent="0.25">
      <c r="A90">
        <v>0.88999938999999995</v>
      </c>
      <c r="B90">
        <v>-8460.703125</v>
      </c>
      <c r="D90">
        <f t="shared" si="2"/>
        <v>-3749.0606229166992</v>
      </c>
      <c r="F90">
        <f t="shared" si="3"/>
        <v>-1827.7187145364744</v>
      </c>
    </row>
    <row r="91" spans="1:6" x14ac:dyDescent="0.25">
      <c r="A91">
        <v>0.89999926100000005</v>
      </c>
      <c r="B91">
        <v>-9308.0917969999991</v>
      </c>
      <c r="D91">
        <f t="shared" si="2"/>
        <v>-3837.904597526699</v>
      </c>
      <c r="F91">
        <f t="shared" si="3"/>
        <v>-1865.6535406386913</v>
      </c>
    </row>
    <row r="92" spans="1:6" x14ac:dyDescent="0.25">
      <c r="A92">
        <v>0.90999913200000004</v>
      </c>
      <c r="B92">
        <v>-5043.1601559999999</v>
      </c>
      <c r="D92">
        <f t="shared" si="2"/>
        <v>-3909.6608572916989</v>
      </c>
      <c r="F92">
        <f t="shared" si="3"/>
        <v>-1904.3913679127834</v>
      </c>
    </row>
    <row r="93" spans="1:6" x14ac:dyDescent="0.25">
      <c r="A93">
        <v>0.91999900300000004</v>
      </c>
      <c r="B93">
        <v>1702.990356</v>
      </c>
      <c r="D93">
        <f t="shared" si="2"/>
        <v>-3926.3617062916987</v>
      </c>
      <c r="F93">
        <f t="shared" si="3"/>
        <v>-1943.5714807307004</v>
      </c>
    </row>
    <row r="94" spans="1:6" x14ac:dyDescent="0.25">
      <c r="A94">
        <v>0.92999935199999995</v>
      </c>
      <c r="B94">
        <v>5183.1152339999999</v>
      </c>
      <c r="D94">
        <f t="shared" si="2"/>
        <v>-3891.9311783416988</v>
      </c>
      <c r="F94">
        <f t="shared" si="3"/>
        <v>-1982.6629451538674</v>
      </c>
    </row>
    <row r="95" spans="1:6" x14ac:dyDescent="0.25">
      <c r="A95">
        <v>0.93999922300000005</v>
      </c>
      <c r="B95">
        <v>3041.3366700000001</v>
      </c>
      <c r="D95">
        <f t="shared" si="2"/>
        <v>-3850.8089188216986</v>
      </c>
      <c r="F95">
        <f t="shared" si="3"/>
        <v>-2021.3766456396845</v>
      </c>
    </row>
    <row r="96" spans="1:6" x14ac:dyDescent="0.25">
      <c r="A96">
        <v>0.94999909400000004</v>
      </c>
      <c r="B96">
        <v>-1937.927124</v>
      </c>
      <c r="D96">
        <f t="shared" si="2"/>
        <v>-3845.2918710916988</v>
      </c>
      <c r="F96">
        <f t="shared" si="3"/>
        <v>-2059.8571495892515</v>
      </c>
    </row>
    <row r="97" spans="1:6" x14ac:dyDescent="0.25">
      <c r="A97">
        <v>0.95999896500000004</v>
      </c>
      <c r="B97">
        <v>-6064.7822269999997</v>
      </c>
      <c r="D97">
        <f t="shared" si="2"/>
        <v>-3885.3054178466987</v>
      </c>
      <c r="F97">
        <f t="shared" si="3"/>
        <v>-2098.5101360339436</v>
      </c>
    </row>
    <row r="98" spans="1:6" x14ac:dyDescent="0.25">
      <c r="A98">
        <v>0.96999931299999997</v>
      </c>
      <c r="B98">
        <v>-6924.1865230000003</v>
      </c>
      <c r="D98">
        <f t="shared" si="2"/>
        <v>-3950.2502615966987</v>
      </c>
      <c r="F98">
        <f t="shared" si="3"/>
        <v>-2137.6879144311606</v>
      </c>
    </row>
    <row r="99" spans="1:6" x14ac:dyDescent="0.25">
      <c r="A99">
        <v>0.97999918500000005</v>
      </c>
      <c r="B99">
        <v>-4329.8623049999997</v>
      </c>
      <c r="D99">
        <f t="shared" si="2"/>
        <v>-4006.5205057366989</v>
      </c>
      <c r="F99">
        <f t="shared" si="3"/>
        <v>-2177.4717682678274</v>
      </c>
    </row>
    <row r="100" spans="1:6" x14ac:dyDescent="0.25">
      <c r="A100">
        <v>0.98999905600000004</v>
      </c>
      <c r="B100">
        <v>-1439.774048</v>
      </c>
      <c r="D100">
        <f t="shared" si="2"/>
        <v>-4035.3686875016988</v>
      </c>
      <c r="F100">
        <f t="shared" si="3"/>
        <v>-2217.6812142340195</v>
      </c>
    </row>
    <row r="101" spans="1:6" x14ac:dyDescent="0.25">
      <c r="A101">
        <v>0.99999892700000004</v>
      </c>
      <c r="B101">
        <v>335.44754030000001</v>
      </c>
      <c r="D101">
        <f t="shared" si="2"/>
        <v>-4040.8903200401987</v>
      </c>
      <c r="F101">
        <f t="shared" si="3"/>
        <v>-2258.0625092717291</v>
      </c>
    </row>
    <row r="102" spans="1:6" x14ac:dyDescent="0.25">
      <c r="A102">
        <v>1.009999275</v>
      </c>
      <c r="B102">
        <v>1987.2847899999999</v>
      </c>
      <c r="D102">
        <f t="shared" si="2"/>
        <v>-4029.2766583886987</v>
      </c>
      <c r="F102">
        <f t="shared" si="3"/>
        <v>-2298.4133441638737</v>
      </c>
    </row>
    <row r="103" spans="1:6" x14ac:dyDescent="0.25">
      <c r="A103">
        <v>1.0199991470000001</v>
      </c>
      <c r="B103">
        <v>3127.729981</v>
      </c>
      <c r="D103">
        <f t="shared" si="2"/>
        <v>-4003.7015845336987</v>
      </c>
      <c r="F103">
        <f t="shared" si="3"/>
        <v>-2338.5782353784857</v>
      </c>
    </row>
    <row r="104" spans="1:6" x14ac:dyDescent="0.25">
      <c r="A104">
        <v>1.029999018</v>
      </c>
      <c r="B104">
        <v>3403.9135740000002</v>
      </c>
      <c r="D104">
        <f t="shared" si="2"/>
        <v>-3971.0433667586985</v>
      </c>
      <c r="F104">
        <f t="shared" si="3"/>
        <v>-2378.4519601349475</v>
      </c>
    </row>
    <row r="105" spans="1:6" x14ac:dyDescent="0.25">
      <c r="A105">
        <v>1.039999366</v>
      </c>
      <c r="B105">
        <v>2256.2036130000001</v>
      </c>
      <c r="D105">
        <f t="shared" si="2"/>
        <v>-3942.7427808236985</v>
      </c>
      <c r="F105">
        <f t="shared" si="3"/>
        <v>-2418.0208908728596</v>
      </c>
    </row>
    <row r="106" spans="1:6" x14ac:dyDescent="0.25">
      <c r="A106">
        <v>1.049999237</v>
      </c>
      <c r="B106">
        <v>-783.03149410000003</v>
      </c>
      <c r="D106">
        <f t="shared" si="2"/>
        <v>-3935.3769202291983</v>
      </c>
      <c r="F106">
        <f t="shared" si="3"/>
        <v>-2457.4114893781239</v>
      </c>
    </row>
    <row r="107" spans="1:6" x14ac:dyDescent="0.25">
      <c r="A107">
        <v>1.059999108</v>
      </c>
      <c r="B107">
        <v>-3675.2182619999999</v>
      </c>
      <c r="D107">
        <f t="shared" si="2"/>
        <v>-3957.6681690096984</v>
      </c>
      <c r="F107">
        <f t="shared" si="3"/>
        <v>-2496.8767148243182</v>
      </c>
    </row>
    <row r="108" spans="1:6" x14ac:dyDescent="0.25">
      <c r="A108">
        <v>1.06999898</v>
      </c>
      <c r="B108">
        <v>-3812.3415530000002</v>
      </c>
      <c r="D108">
        <f t="shared" si="2"/>
        <v>-3995.1059680846984</v>
      </c>
      <c r="F108">
        <f t="shared" si="3"/>
        <v>-2536.6405855097901</v>
      </c>
    </row>
    <row r="109" spans="1:6" x14ac:dyDescent="0.25">
      <c r="A109">
        <v>1.079999328</v>
      </c>
      <c r="B109">
        <v>-1709.7430420000001</v>
      </c>
      <c r="D109">
        <f t="shared" si="2"/>
        <v>-4022.7163910596983</v>
      </c>
      <c r="F109">
        <f t="shared" si="3"/>
        <v>-2576.7296973055122</v>
      </c>
    </row>
    <row r="110" spans="1:6" x14ac:dyDescent="0.25">
      <c r="A110">
        <v>1.089999199</v>
      </c>
      <c r="B110">
        <v>-603.74713139999994</v>
      </c>
      <c r="D110">
        <f t="shared" si="2"/>
        <v>-4034.2838419266982</v>
      </c>
      <c r="F110">
        <f t="shared" si="3"/>
        <v>-2617.0146984704443</v>
      </c>
    </row>
    <row r="111" spans="1:6" x14ac:dyDescent="0.25">
      <c r="A111">
        <v>1.09999907</v>
      </c>
      <c r="B111">
        <v>-640.68634029999998</v>
      </c>
      <c r="D111">
        <f t="shared" si="2"/>
        <v>-4040.5060092851982</v>
      </c>
      <c r="F111">
        <f t="shared" si="3"/>
        <v>-2657.3886477265037</v>
      </c>
    </row>
    <row r="112" spans="1:6" x14ac:dyDescent="0.25">
      <c r="A112">
        <v>1.109998941</v>
      </c>
      <c r="B112">
        <v>569.25292969999998</v>
      </c>
      <c r="D112">
        <f t="shared" si="2"/>
        <v>-4040.8631763381982</v>
      </c>
      <c r="F112">
        <f t="shared" si="3"/>
        <v>-2697.7954936546207</v>
      </c>
    </row>
    <row r="113" spans="1:6" x14ac:dyDescent="0.25">
      <c r="A113">
        <v>1.11999929</v>
      </c>
      <c r="B113">
        <v>854.04339600000003</v>
      </c>
      <c r="D113">
        <f t="shared" si="2"/>
        <v>-4033.7466947096982</v>
      </c>
      <c r="F113">
        <f t="shared" si="3"/>
        <v>-2738.1685430098601</v>
      </c>
    </row>
    <row r="114" spans="1:6" x14ac:dyDescent="0.25">
      <c r="A114">
        <v>1.129999161</v>
      </c>
      <c r="B114">
        <v>-1212.2947999999999</v>
      </c>
      <c r="D114">
        <f t="shared" si="2"/>
        <v>-4035.5379517296983</v>
      </c>
      <c r="F114">
        <f t="shared" si="3"/>
        <v>-2778.5149662420572</v>
      </c>
    </row>
    <row r="115" spans="1:6" x14ac:dyDescent="0.25">
      <c r="A115">
        <v>1.139999032</v>
      </c>
      <c r="B115">
        <v>-978.36175539999999</v>
      </c>
      <c r="D115">
        <f t="shared" si="2"/>
        <v>-4046.4912345066982</v>
      </c>
      <c r="F115">
        <f t="shared" si="3"/>
        <v>-2818.9251121732391</v>
      </c>
    </row>
    <row r="116" spans="1:6" x14ac:dyDescent="0.25">
      <c r="A116">
        <v>1.149998903</v>
      </c>
      <c r="B116">
        <v>2139.6140140000002</v>
      </c>
      <c r="D116">
        <f t="shared" si="2"/>
        <v>-4040.6849732136984</v>
      </c>
      <c r="F116">
        <f t="shared" si="3"/>
        <v>-2859.3609932118411</v>
      </c>
    </row>
    <row r="117" spans="1:6" x14ac:dyDescent="0.25">
      <c r="A117">
        <v>1.1599992509999999</v>
      </c>
      <c r="B117">
        <v>2688.9653320000002</v>
      </c>
      <c r="D117">
        <f t="shared" si="2"/>
        <v>-4016.5420764836986</v>
      </c>
      <c r="F117">
        <f t="shared" si="3"/>
        <v>-2899.6471284603281</v>
      </c>
    </row>
    <row r="118" spans="1:6" x14ac:dyDescent="0.25">
      <c r="A118">
        <v>1.169999123</v>
      </c>
      <c r="B118">
        <v>-48.419090269999998</v>
      </c>
      <c r="D118">
        <f t="shared" si="2"/>
        <v>-4003.3393452750483</v>
      </c>
      <c r="F118">
        <f t="shared" si="3"/>
        <v>-2939.746535569122</v>
      </c>
    </row>
    <row r="119" spans="1:6" x14ac:dyDescent="0.25">
      <c r="A119">
        <v>1.179998994</v>
      </c>
      <c r="B119">
        <v>-1972.479004</v>
      </c>
      <c r="D119">
        <f t="shared" si="2"/>
        <v>-4013.4438357463982</v>
      </c>
      <c r="F119">
        <f t="shared" si="3"/>
        <v>-2979.8304514742294</v>
      </c>
    </row>
    <row r="120" spans="1:6" x14ac:dyDescent="0.25">
      <c r="A120">
        <v>1.189998865</v>
      </c>
      <c r="B120">
        <v>-2918.2304690000001</v>
      </c>
      <c r="D120">
        <f t="shared" si="2"/>
        <v>-4037.8973831113981</v>
      </c>
      <c r="F120">
        <f t="shared" si="3"/>
        <v>-3020.0871575685183</v>
      </c>
    </row>
    <row r="121" spans="1:6" x14ac:dyDescent="0.25">
      <c r="A121">
        <v>1.1999992129999999</v>
      </c>
      <c r="B121">
        <v>-5060.5625</v>
      </c>
      <c r="D121">
        <f t="shared" si="2"/>
        <v>-4077.7913479563981</v>
      </c>
      <c r="F121">
        <f t="shared" si="3"/>
        <v>-3060.6656012238573</v>
      </c>
    </row>
    <row r="122" spans="1:6" x14ac:dyDescent="0.25">
      <c r="A122">
        <v>1.209999085</v>
      </c>
      <c r="B122">
        <v>-5238.2124020000001</v>
      </c>
      <c r="D122">
        <f t="shared" si="2"/>
        <v>-4129.2852224663984</v>
      </c>
      <c r="F122">
        <f t="shared" si="3"/>
        <v>-3101.7009840759711</v>
      </c>
    </row>
    <row r="123" spans="1:6" x14ac:dyDescent="0.25">
      <c r="A123">
        <v>1.219998956</v>
      </c>
      <c r="B123">
        <v>-67.636932369999997</v>
      </c>
      <c r="D123">
        <f t="shared" si="2"/>
        <v>-4155.8144691382486</v>
      </c>
      <c r="F123">
        <f t="shared" si="3"/>
        <v>-3143.1264825339945</v>
      </c>
    </row>
    <row r="124" spans="1:6" x14ac:dyDescent="0.25">
      <c r="A124">
        <v>1.229998827</v>
      </c>
      <c r="B124">
        <v>5426.810547</v>
      </c>
      <c r="D124">
        <f t="shared" si="2"/>
        <v>-4129.0186010650987</v>
      </c>
      <c r="F124">
        <f t="shared" si="3"/>
        <v>-3184.5506478850111</v>
      </c>
    </row>
    <row r="125" spans="1:6" x14ac:dyDescent="0.25">
      <c r="A125">
        <v>1.2399991749999999</v>
      </c>
      <c r="B125">
        <v>5360.7373049999997</v>
      </c>
      <c r="D125">
        <f t="shared" si="2"/>
        <v>-4075.0808618050987</v>
      </c>
      <c r="F125">
        <f t="shared" si="3"/>
        <v>-3225.571145199362</v>
      </c>
    </row>
    <row r="126" spans="1:6" x14ac:dyDescent="0.25">
      <c r="A126">
        <v>1.2499990459999999</v>
      </c>
      <c r="B126">
        <v>1651.0242920000001</v>
      </c>
      <c r="D126">
        <f t="shared" si="2"/>
        <v>-4040.0220538200988</v>
      </c>
      <c r="F126">
        <f t="shared" si="3"/>
        <v>-3266.1466597774879</v>
      </c>
    </row>
    <row r="127" spans="1:6" x14ac:dyDescent="0.25">
      <c r="A127">
        <v>1.259998918</v>
      </c>
      <c r="B127">
        <v>-1760.122803</v>
      </c>
      <c r="D127">
        <f t="shared" si="2"/>
        <v>-4040.5675463750986</v>
      </c>
      <c r="F127">
        <f t="shared" si="3"/>
        <v>-3306.5496077784637</v>
      </c>
    </row>
    <row r="128" spans="1:6" x14ac:dyDescent="0.25">
      <c r="A128">
        <v>1.269998789</v>
      </c>
      <c r="B128">
        <v>-3412.5795899999998</v>
      </c>
      <c r="D128">
        <f t="shared" si="2"/>
        <v>-4066.4310583400984</v>
      </c>
      <c r="F128">
        <f t="shared" si="3"/>
        <v>-3347.0846008020399</v>
      </c>
    </row>
    <row r="129" spans="1:6" x14ac:dyDescent="0.25">
      <c r="A129">
        <v>1.2799991369999999</v>
      </c>
      <c r="B129">
        <v>-3484.2687989999999</v>
      </c>
      <c r="D129">
        <f t="shared" si="2"/>
        <v>-4100.9153002850981</v>
      </c>
      <c r="F129">
        <f t="shared" si="3"/>
        <v>-3387.9213325951659</v>
      </c>
    </row>
    <row r="130" spans="1:6" x14ac:dyDescent="0.25">
      <c r="A130">
        <v>1.2899990079999999</v>
      </c>
      <c r="B130">
        <v>-4005.561768</v>
      </c>
      <c r="D130">
        <f t="shared" si="2"/>
        <v>-4138.364453120098</v>
      </c>
      <c r="F130">
        <f t="shared" si="3"/>
        <v>-3429.117731362192</v>
      </c>
    </row>
    <row r="131" spans="1:6" x14ac:dyDescent="0.25">
      <c r="A131">
        <v>1.2999988790000001</v>
      </c>
      <c r="B131">
        <v>-3573.2929690000001</v>
      </c>
      <c r="D131">
        <f t="shared" si="2"/>
        <v>-4176.2587268050984</v>
      </c>
      <c r="F131">
        <f t="shared" si="3"/>
        <v>-3470.6908472618179</v>
      </c>
    </row>
    <row r="132" spans="1:6" x14ac:dyDescent="0.25">
      <c r="A132">
        <v>1.309998751</v>
      </c>
      <c r="B132">
        <v>1825.44812</v>
      </c>
      <c r="D132">
        <f t="shared" si="2"/>
        <v>-4184.997951050098</v>
      </c>
      <c r="F132">
        <f t="shared" si="3"/>
        <v>-3512.4971306510938</v>
      </c>
    </row>
    <row r="133" spans="1:6" x14ac:dyDescent="0.25">
      <c r="A133">
        <v>1.3199990989999999</v>
      </c>
      <c r="B133">
        <v>6406.9589839999999</v>
      </c>
      <c r="D133">
        <f t="shared" ref="D133" si="4">((B133+B132)/2)*0.01+D132</f>
        <v>-4143.8359155300977</v>
      </c>
      <c r="F133">
        <f t="shared" ref="F133" si="5">((D133+D132)/2)*0.01+F132</f>
        <v>-3554.1412999839949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FF00"/>
  </sheetPr>
  <dimension ref="A1:F133"/>
  <sheetViews>
    <sheetView zoomScale="179" workbookViewId="0">
      <selection activeCell="A4" sqref="A4:B133"/>
    </sheetView>
  </sheetViews>
  <sheetFormatPr defaultRowHeight="15" x14ac:dyDescent="0.25"/>
  <sheetData>
    <row r="1" spans="1:6" x14ac:dyDescent="0.25">
      <c r="A1" t="s">
        <v>5</v>
      </c>
    </row>
    <row r="2" spans="1:6" x14ac:dyDescent="0.25">
      <c r="A2" s="1" t="s">
        <v>3</v>
      </c>
      <c r="B2" t="s">
        <v>4</v>
      </c>
      <c r="D2" t="s">
        <v>6</v>
      </c>
      <c r="F2" t="s">
        <v>7</v>
      </c>
    </row>
    <row r="4" spans="1:6" x14ac:dyDescent="0.25">
      <c r="A4">
        <v>2.999959E-2</v>
      </c>
      <c r="B4">
        <v>6393.421875</v>
      </c>
      <c r="D4">
        <f>((B4+B3)/2)*0.01+D3</f>
        <v>31.967109375</v>
      </c>
      <c r="F4">
        <f>((D4+D3)/2)*0.01+F3</f>
        <v>0.15983554687500001</v>
      </c>
    </row>
    <row r="5" spans="1:6" x14ac:dyDescent="0.25">
      <c r="A5">
        <v>3.9999958000000002E-2</v>
      </c>
      <c r="B5">
        <v>2912.7277829999998</v>
      </c>
      <c r="D5">
        <f t="shared" ref="D5:D68" si="0">((B5+B4)/2)*0.01+D4</f>
        <v>78.497857664999998</v>
      </c>
      <c r="F5">
        <f t="shared" ref="F5:F68" si="1">((D5+D4)/2)*0.01+F4</f>
        <v>0.7121603820750001</v>
      </c>
    </row>
    <row r="6" spans="1:6" x14ac:dyDescent="0.25">
      <c r="A6">
        <v>4.9999818000000001E-2</v>
      </c>
      <c r="B6">
        <v>-537.89068599999996</v>
      </c>
      <c r="D6">
        <f t="shared" si="0"/>
        <v>90.372043149999996</v>
      </c>
      <c r="F6">
        <f t="shared" si="1"/>
        <v>1.5565098861500002</v>
      </c>
    </row>
    <row r="7" spans="1:6" x14ac:dyDescent="0.25">
      <c r="A7">
        <v>5.9999681999999999E-2</v>
      </c>
      <c r="B7">
        <v>2300.999268</v>
      </c>
      <c r="D7">
        <f t="shared" si="0"/>
        <v>99.187586060000001</v>
      </c>
      <c r="F7">
        <f t="shared" si="1"/>
        <v>2.5043080322</v>
      </c>
    </row>
    <row r="8" spans="1:6" x14ac:dyDescent="0.25">
      <c r="A8">
        <v>6.9999545999999996E-2</v>
      </c>
      <c r="B8">
        <v>5544.5253910000001</v>
      </c>
      <c r="D8">
        <f t="shared" si="0"/>
        <v>138.415209355</v>
      </c>
      <c r="F8">
        <f t="shared" si="1"/>
        <v>3.6923220092750002</v>
      </c>
    </row>
    <row r="9" spans="1:6" x14ac:dyDescent="0.25">
      <c r="A9">
        <v>7.9999916000000004E-2</v>
      </c>
      <c r="B9">
        <v>4870.4604490000002</v>
      </c>
      <c r="D9">
        <f t="shared" si="0"/>
        <v>190.49013855500002</v>
      </c>
      <c r="F9">
        <f t="shared" si="1"/>
        <v>5.336848748825</v>
      </c>
    </row>
    <row r="10" spans="1:6" x14ac:dyDescent="0.25">
      <c r="A10">
        <v>8.9999773000000005E-2</v>
      </c>
      <c r="B10">
        <v>2740.4272460000002</v>
      </c>
      <c r="D10">
        <f t="shared" si="0"/>
        <v>228.54457703000003</v>
      </c>
      <c r="F10">
        <f t="shared" si="1"/>
        <v>7.4320223267500003</v>
      </c>
    </row>
    <row r="11" spans="1:6" x14ac:dyDescent="0.25">
      <c r="A11">
        <v>9.9999636000000003E-2</v>
      </c>
      <c r="B11">
        <v>2993.9255370000001</v>
      </c>
      <c r="D11">
        <f t="shared" si="0"/>
        <v>257.21634094500001</v>
      </c>
      <c r="F11">
        <f t="shared" si="1"/>
        <v>9.8608269166250011</v>
      </c>
    </row>
    <row r="12" spans="1:6" x14ac:dyDescent="0.25">
      <c r="A12">
        <v>0.1099995</v>
      </c>
      <c r="B12">
        <v>5262.0961909999996</v>
      </c>
      <c r="D12">
        <f t="shared" si="0"/>
        <v>298.49644958499999</v>
      </c>
      <c r="F12">
        <f t="shared" si="1"/>
        <v>12.639390869275001</v>
      </c>
    </row>
    <row r="13" spans="1:6" x14ac:dyDescent="0.25">
      <c r="A13">
        <v>0.11999987099999999</v>
      </c>
      <c r="B13">
        <v>8232.3828130000002</v>
      </c>
      <c r="D13">
        <f t="shared" si="0"/>
        <v>365.96884460500002</v>
      </c>
      <c r="F13">
        <f t="shared" si="1"/>
        <v>15.961717340225</v>
      </c>
    </row>
    <row r="14" spans="1:6" x14ac:dyDescent="0.25">
      <c r="A14">
        <v>0.12999972700000001</v>
      </c>
      <c r="B14">
        <v>12640.358399999999</v>
      </c>
      <c r="D14">
        <f t="shared" si="0"/>
        <v>470.33255067000005</v>
      </c>
      <c r="F14">
        <f t="shared" si="1"/>
        <v>20.143224316600001</v>
      </c>
    </row>
    <row r="15" spans="1:6" x14ac:dyDescent="0.25">
      <c r="A15">
        <v>0.139999598</v>
      </c>
      <c r="B15">
        <v>17027.632809999999</v>
      </c>
      <c r="D15">
        <f t="shared" si="0"/>
        <v>618.67250672</v>
      </c>
      <c r="F15">
        <f t="shared" si="1"/>
        <v>25.58824960355</v>
      </c>
    </row>
    <row r="16" spans="1:6" x14ac:dyDescent="0.25">
      <c r="A16">
        <v>0.14999996099999999</v>
      </c>
      <c r="B16">
        <v>16236.70996</v>
      </c>
      <c r="D16">
        <f t="shared" si="0"/>
        <v>784.99422057000004</v>
      </c>
      <c r="F16">
        <f t="shared" si="1"/>
        <v>32.606583239999999</v>
      </c>
    </row>
    <row r="17" spans="1:6" x14ac:dyDescent="0.25">
      <c r="A17">
        <v>0.15999983300000001</v>
      </c>
      <c r="B17">
        <v>8364.0576170000004</v>
      </c>
      <c r="D17">
        <f t="shared" si="0"/>
        <v>907.99805845500009</v>
      </c>
      <c r="F17">
        <f t="shared" si="1"/>
        <v>41.071544635125001</v>
      </c>
    </row>
    <row r="18" spans="1:6" x14ac:dyDescent="0.25">
      <c r="A18">
        <v>0.16999968900000001</v>
      </c>
      <c r="B18">
        <v>-378.59463499999998</v>
      </c>
      <c r="D18">
        <f t="shared" si="0"/>
        <v>947.92537336500004</v>
      </c>
      <c r="F18">
        <f t="shared" si="1"/>
        <v>50.351161794225</v>
      </c>
    </row>
    <row r="19" spans="1:6" x14ac:dyDescent="0.25">
      <c r="A19">
        <v>0.17999954500000001</v>
      </c>
      <c r="B19">
        <v>-1429.139404</v>
      </c>
      <c r="D19">
        <f t="shared" si="0"/>
        <v>938.88670317000003</v>
      </c>
      <c r="F19">
        <f t="shared" si="1"/>
        <v>59.7852221769</v>
      </c>
    </row>
    <row r="20" spans="1:6" x14ac:dyDescent="0.25">
      <c r="A20">
        <v>0.18999992299999999</v>
      </c>
      <c r="B20">
        <v>6151.8305659999996</v>
      </c>
      <c r="D20">
        <f t="shared" si="0"/>
        <v>962.50015898000004</v>
      </c>
      <c r="F20">
        <f t="shared" si="1"/>
        <v>69.292156487650004</v>
      </c>
    </row>
    <row r="21" spans="1:6" x14ac:dyDescent="0.25">
      <c r="A21">
        <v>0.19999977899999999</v>
      </c>
      <c r="B21">
        <v>14488.356449999999</v>
      </c>
      <c r="D21">
        <f t="shared" si="0"/>
        <v>1065.7010940600001</v>
      </c>
      <c r="F21">
        <f t="shared" si="1"/>
        <v>79.433162752850009</v>
      </c>
    </row>
    <row r="22" spans="1:6" x14ac:dyDescent="0.25">
      <c r="A22">
        <v>0.20999965100000001</v>
      </c>
      <c r="B22">
        <v>16770.203130000002</v>
      </c>
      <c r="D22">
        <f t="shared" si="0"/>
        <v>1221.9938919600002</v>
      </c>
      <c r="F22">
        <f t="shared" si="1"/>
        <v>90.871637682950009</v>
      </c>
    </row>
    <row r="23" spans="1:6" x14ac:dyDescent="0.25">
      <c r="A23">
        <v>0.22000001399999999</v>
      </c>
      <c r="B23">
        <v>14776.91699</v>
      </c>
      <c r="D23">
        <f t="shared" si="0"/>
        <v>1379.7294925600002</v>
      </c>
      <c r="F23">
        <f t="shared" si="1"/>
        <v>103.88025460555001</v>
      </c>
    </row>
    <row r="24" spans="1:6" x14ac:dyDescent="0.25">
      <c r="A24">
        <v>0.22999987</v>
      </c>
      <c r="B24">
        <v>14243.26563</v>
      </c>
      <c r="D24">
        <f t="shared" si="0"/>
        <v>1524.8304056600002</v>
      </c>
      <c r="F24">
        <f t="shared" si="1"/>
        <v>118.40305409665001</v>
      </c>
    </row>
    <row r="25" spans="1:6" x14ac:dyDescent="0.25">
      <c r="A25">
        <v>0.23999974099999999</v>
      </c>
      <c r="B25">
        <v>15880.128909999999</v>
      </c>
      <c r="D25">
        <f t="shared" si="0"/>
        <v>1675.4473783600001</v>
      </c>
      <c r="F25">
        <f t="shared" si="1"/>
        <v>134.40444301675001</v>
      </c>
    </row>
    <row r="26" spans="1:6" x14ac:dyDescent="0.25">
      <c r="A26">
        <v>0.24999959799999999</v>
      </c>
      <c r="B26">
        <v>15289.224609999999</v>
      </c>
      <c r="D26">
        <f t="shared" si="0"/>
        <v>1831.2941459600002</v>
      </c>
      <c r="F26">
        <f t="shared" si="1"/>
        <v>151.93815063835001</v>
      </c>
    </row>
    <row r="27" spans="1:6" x14ac:dyDescent="0.25">
      <c r="A27">
        <v>0.259999961</v>
      </c>
      <c r="B27">
        <v>10601.57617</v>
      </c>
      <c r="D27">
        <f t="shared" si="0"/>
        <v>1960.7481498600002</v>
      </c>
      <c r="F27">
        <f t="shared" si="1"/>
        <v>170.89836211745001</v>
      </c>
    </row>
    <row r="28" spans="1:6" x14ac:dyDescent="0.25">
      <c r="A28">
        <v>0.269999832</v>
      </c>
      <c r="B28">
        <v>5147.21875</v>
      </c>
      <c r="D28">
        <f t="shared" si="0"/>
        <v>2039.4921244600002</v>
      </c>
      <c r="F28">
        <f t="shared" si="1"/>
        <v>190.89956348905002</v>
      </c>
    </row>
    <row r="29" spans="1:6" x14ac:dyDescent="0.25">
      <c r="A29">
        <v>0.27999970299999999</v>
      </c>
      <c r="B29">
        <v>3752.821289</v>
      </c>
      <c r="D29">
        <f t="shared" si="0"/>
        <v>2083.9923246550002</v>
      </c>
      <c r="F29">
        <f t="shared" si="1"/>
        <v>211.51698573462502</v>
      </c>
    </row>
    <row r="30" spans="1:6" x14ac:dyDescent="0.25">
      <c r="A30">
        <v>0.28999954500000003</v>
      </c>
      <c r="B30">
        <v>8139.1328130000002</v>
      </c>
      <c r="D30">
        <f t="shared" si="0"/>
        <v>2143.4520951650002</v>
      </c>
      <c r="F30">
        <f t="shared" si="1"/>
        <v>232.65420783372502</v>
      </c>
    </row>
    <row r="31" spans="1:6" x14ac:dyDescent="0.25">
      <c r="A31">
        <v>0.299999923</v>
      </c>
      <c r="B31">
        <v>13768.965819999999</v>
      </c>
      <c r="D31">
        <f t="shared" si="0"/>
        <v>2252.9925883300002</v>
      </c>
      <c r="F31">
        <f t="shared" si="1"/>
        <v>254.63643125120004</v>
      </c>
    </row>
    <row r="32" spans="1:6" x14ac:dyDescent="0.25">
      <c r="A32">
        <v>0.309999794</v>
      </c>
      <c r="B32">
        <v>15628.73633</v>
      </c>
      <c r="D32">
        <f t="shared" si="0"/>
        <v>2399.9810990800001</v>
      </c>
      <c r="F32">
        <f t="shared" si="1"/>
        <v>277.90129968825005</v>
      </c>
    </row>
    <row r="33" spans="1:6" x14ac:dyDescent="0.25">
      <c r="A33">
        <v>0.31999966499999999</v>
      </c>
      <c r="B33">
        <v>15936.735350000001</v>
      </c>
      <c r="D33">
        <f t="shared" si="0"/>
        <v>2557.80845748</v>
      </c>
      <c r="F33">
        <f t="shared" si="1"/>
        <v>302.69024747105004</v>
      </c>
    </row>
    <row r="34" spans="1:6" x14ac:dyDescent="0.25">
      <c r="A34">
        <v>0.329999506</v>
      </c>
      <c r="B34">
        <v>17048.765630000002</v>
      </c>
      <c r="D34">
        <f t="shared" si="0"/>
        <v>2722.7359623800003</v>
      </c>
      <c r="F34">
        <f t="shared" si="1"/>
        <v>329.09296957035002</v>
      </c>
    </row>
    <row r="35" spans="1:6" x14ac:dyDescent="0.25">
      <c r="A35">
        <v>0.33999988399999997</v>
      </c>
      <c r="B35">
        <v>14887.57813</v>
      </c>
      <c r="D35">
        <f t="shared" si="0"/>
        <v>2882.4176811800003</v>
      </c>
      <c r="F35">
        <f t="shared" si="1"/>
        <v>357.11873778815004</v>
      </c>
    </row>
    <row r="36" spans="1:6" x14ac:dyDescent="0.25">
      <c r="A36">
        <v>0.349999756</v>
      </c>
      <c r="B36">
        <v>8530.6142579999996</v>
      </c>
      <c r="D36">
        <f t="shared" si="0"/>
        <v>2999.5086431200002</v>
      </c>
      <c r="F36">
        <f t="shared" si="1"/>
        <v>386.52836940965005</v>
      </c>
    </row>
    <row r="37" spans="1:6" x14ac:dyDescent="0.25">
      <c r="A37">
        <v>0.359999597</v>
      </c>
      <c r="B37">
        <v>3883.7465820000002</v>
      </c>
      <c r="D37">
        <f t="shared" si="0"/>
        <v>3061.5804473200001</v>
      </c>
      <c r="F37">
        <f t="shared" si="1"/>
        <v>416.83381486185004</v>
      </c>
    </row>
    <row r="38" spans="1:6" x14ac:dyDescent="0.25">
      <c r="A38">
        <v>0.369999468</v>
      </c>
      <c r="B38">
        <v>3429.0986330000001</v>
      </c>
      <c r="D38">
        <f t="shared" si="0"/>
        <v>3098.1446733950002</v>
      </c>
      <c r="F38">
        <f t="shared" si="1"/>
        <v>447.63244046542502</v>
      </c>
    </row>
    <row r="39" spans="1:6" x14ac:dyDescent="0.25">
      <c r="A39">
        <v>0.37999984599999997</v>
      </c>
      <c r="B39">
        <v>4079.4194339999999</v>
      </c>
      <c r="D39">
        <f t="shared" si="0"/>
        <v>3135.6872637300003</v>
      </c>
      <c r="F39">
        <f t="shared" si="1"/>
        <v>478.80160015105002</v>
      </c>
    </row>
    <row r="40" spans="1:6" x14ac:dyDescent="0.25">
      <c r="A40">
        <v>0.38999968800000001</v>
      </c>
      <c r="B40">
        <v>5179.7094729999999</v>
      </c>
      <c r="D40">
        <f t="shared" si="0"/>
        <v>3181.9829082650003</v>
      </c>
      <c r="F40">
        <f t="shared" si="1"/>
        <v>510.389951011025</v>
      </c>
    </row>
    <row r="41" spans="1:6" x14ac:dyDescent="0.25">
      <c r="A41">
        <v>0.399999559</v>
      </c>
      <c r="B41">
        <v>8647.578125</v>
      </c>
      <c r="D41">
        <f t="shared" si="0"/>
        <v>3251.1193462550004</v>
      </c>
      <c r="F41">
        <f t="shared" si="1"/>
        <v>542.55546228362505</v>
      </c>
    </row>
    <row r="42" spans="1:6" x14ac:dyDescent="0.25">
      <c r="A42">
        <v>0.40999943</v>
      </c>
      <c r="B42">
        <v>11212.128909999999</v>
      </c>
      <c r="D42">
        <f t="shared" si="0"/>
        <v>3350.4178814300003</v>
      </c>
      <c r="F42">
        <f t="shared" si="1"/>
        <v>575.56314842205006</v>
      </c>
    </row>
    <row r="43" spans="1:6" x14ac:dyDescent="0.25">
      <c r="A43">
        <v>0.41999980799999997</v>
      </c>
      <c r="B43">
        <v>8794.7207030000009</v>
      </c>
      <c r="D43">
        <f t="shared" si="0"/>
        <v>3450.4521294950005</v>
      </c>
      <c r="F43">
        <f t="shared" si="1"/>
        <v>609.56749847667504</v>
      </c>
    </row>
    <row r="44" spans="1:6" x14ac:dyDescent="0.25">
      <c r="A44">
        <v>0.42999965000000001</v>
      </c>
      <c r="B44">
        <v>7913.7607420000004</v>
      </c>
      <c r="D44">
        <f t="shared" si="0"/>
        <v>3533.9945367200003</v>
      </c>
      <c r="F44">
        <f t="shared" si="1"/>
        <v>644.4897318077501</v>
      </c>
    </row>
    <row r="45" spans="1:6" x14ac:dyDescent="0.25">
      <c r="A45">
        <v>0.439999521</v>
      </c>
      <c r="B45">
        <v>15518.472659999999</v>
      </c>
      <c r="D45">
        <f t="shared" si="0"/>
        <v>3651.1557037300004</v>
      </c>
      <c r="F45">
        <f t="shared" si="1"/>
        <v>680.41548301000012</v>
      </c>
    </row>
    <row r="46" spans="1:6" x14ac:dyDescent="0.25">
      <c r="A46">
        <v>0.449999392</v>
      </c>
      <c r="B46">
        <v>23493.75</v>
      </c>
      <c r="D46">
        <f t="shared" si="0"/>
        <v>3846.2168170300001</v>
      </c>
      <c r="F46">
        <f t="shared" si="1"/>
        <v>717.90234561380009</v>
      </c>
    </row>
    <row r="47" spans="1:6" x14ac:dyDescent="0.25">
      <c r="A47">
        <v>0.45999973999999999</v>
      </c>
      <c r="B47">
        <v>21016.632809999999</v>
      </c>
      <c r="D47">
        <f t="shared" si="0"/>
        <v>4068.7687310800002</v>
      </c>
      <c r="F47">
        <f t="shared" si="1"/>
        <v>757.47727335435013</v>
      </c>
    </row>
    <row r="48" spans="1:6" x14ac:dyDescent="0.25">
      <c r="A48">
        <v>0.46999961099999998</v>
      </c>
      <c r="B48">
        <v>11506.882809999999</v>
      </c>
      <c r="D48">
        <f t="shared" si="0"/>
        <v>4231.3863091800004</v>
      </c>
      <c r="F48">
        <f t="shared" si="1"/>
        <v>798.97804855565016</v>
      </c>
    </row>
    <row r="49" spans="1:6" x14ac:dyDescent="0.25">
      <c r="A49">
        <v>0.479999483</v>
      </c>
      <c r="B49">
        <v>4470.6708980000003</v>
      </c>
      <c r="D49">
        <f t="shared" si="0"/>
        <v>4311.2740777200006</v>
      </c>
      <c r="F49">
        <f t="shared" si="1"/>
        <v>841.69135049015017</v>
      </c>
    </row>
    <row r="50" spans="1:6" x14ac:dyDescent="0.25">
      <c r="A50">
        <v>0.489999354</v>
      </c>
      <c r="B50">
        <v>2000.5972899999999</v>
      </c>
      <c r="D50">
        <f t="shared" si="0"/>
        <v>4343.6304186600009</v>
      </c>
      <c r="F50">
        <f t="shared" si="1"/>
        <v>884.96587297205019</v>
      </c>
    </row>
    <row r="51" spans="1:6" x14ac:dyDescent="0.25">
      <c r="A51">
        <v>0.49999970199999999</v>
      </c>
      <c r="B51">
        <v>943.73107909999999</v>
      </c>
      <c r="D51">
        <f t="shared" si="0"/>
        <v>4358.352060505501</v>
      </c>
      <c r="F51">
        <f t="shared" si="1"/>
        <v>928.47578536787773</v>
      </c>
    </row>
    <row r="52" spans="1:6" x14ac:dyDescent="0.25">
      <c r="A52">
        <v>0.50999957299999998</v>
      </c>
      <c r="B52">
        <v>-171.05810550000001</v>
      </c>
      <c r="D52">
        <f t="shared" si="0"/>
        <v>4362.2154253735007</v>
      </c>
      <c r="F52">
        <f t="shared" si="1"/>
        <v>972.07862279727271</v>
      </c>
    </row>
    <row r="53" spans="1:6" x14ac:dyDescent="0.25">
      <c r="A53">
        <v>0.51999944399999998</v>
      </c>
      <c r="B53">
        <v>475.09155270000002</v>
      </c>
      <c r="D53">
        <f t="shared" si="0"/>
        <v>4363.7355926095006</v>
      </c>
      <c r="F53">
        <f t="shared" si="1"/>
        <v>1015.7083778871877</v>
      </c>
    </row>
    <row r="54" spans="1:6" x14ac:dyDescent="0.25">
      <c r="A54">
        <v>0.529999793</v>
      </c>
      <c r="B54">
        <v>5210.5834960000002</v>
      </c>
      <c r="D54">
        <f t="shared" si="0"/>
        <v>4392.1639678530009</v>
      </c>
      <c r="F54">
        <f t="shared" si="1"/>
        <v>1059.4878756895002</v>
      </c>
    </row>
    <row r="55" spans="1:6" x14ac:dyDescent="0.25">
      <c r="A55">
        <v>0.53999966399999999</v>
      </c>
      <c r="B55">
        <v>11031.5957</v>
      </c>
      <c r="D55">
        <f t="shared" si="0"/>
        <v>4473.3748638330007</v>
      </c>
      <c r="F55">
        <f t="shared" si="1"/>
        <v>1103.8155698479302</v>
      </c>
    </row>
    <row r="56" spans="1:6" x14ac:dyDescent="0.25">
      <c r="A56">
        <v>0.54999953499999998</v>
      </c>
      <c r="B56">
        <v>11276.30566</v>
      </c>
      <c r="D56">
        <f t="shared" si="0"/>
        <v>4584.9143706330005</v>
      </c>
      <c r="F56">
        <f t="shared" si="1"/>
        <v>1149.1070160202603</v>
      </c>
    </row>
    <row r="57" spans="1:6" x14ac:dyDescent="0.25">
      <c r="A57">
        <v>0.55999940599999998</v>
      </c>
      <c r="B57">
        <v>6909.6284180000002</v>
      </c>
      <c r="D57">
        <f t="shared" si="0"/>
        <v>4675.8440410230005</v>
      </c>
      <c r="F57">
        <f t="shared" si="1"/>
        <v>1195.4108080785402</v>
      </c>
    </row>
    <row r="58" spans="1:6" x14ac:dyDescent="0.25">
      <c r="A58">
        <v>0.56999975400000003</v>
      </c>
      <c r="B58">
        <v>5836.5839839999999</v>
      </c>
      <c r="D58">
        <f t="shared" si="0"/>
        <v>4739.5751030330002</v>
      </c>
      <c r="F58">
        <f t="shared" si="1"/>
        <v>1242.4879037988203</v>
      </c>
    </row>
    <row r="59" spans="1:6" x14ac:dyDescent="0.25">
      <c r="A59">
        <v>0.57999962599999999</v>
      </c>
      <c r="B59">
        <v>8772.4072269999997</v>
      </c>
      <c r="D59">
        <f t="shared" si="0"/>
        <v>4812.6200590879998</v>
      </c>
      <c r="F59">
        <f t="shared" si="1"/>
        <v>1290.2488796094253</v>
      </c>
    </row>
    <row r="60" spans="1:6" x14ac:dyDescent="0.25">
      <c r="A60">
        <v>0.58999949699999998</v>
      </c>
      <c r="B60">
        <v>8513.2207030000009</v>
      </c>
      <c r="D60">
        <f t="shared" si="0"/>
        <v>4899.0481987379999</v>
      </c>
      <c r="F60">
        <f t="shared" si="1"/>
        <v>1338.8072208985554</v>
      </c>
    </row>
    <row r="61" spans="1:6" x14ac:dyDescent="0.25">
      <c r="A61">
        <v>0.59999936799999998</v>
      </c>
      <c r="B61">
        <v>3636.320557</v>
      </c>
      <c r="D61">
        <f t="shared" si="0"/>
        <v>4959.7959050379995</v>
      </c>
      <c r="F61">
        <f t="shared" si="1"/>
        <v>1388.1014414174354</v>
      </c>
    </row>
    <row r="62" spans="1:6" x14ac:dyDescent="0.25">
      <c r="A62">
        <v>0.60999971600000003</v>
      </c>
      <c r="B62">
        <v>523.48736570000005</v>
      </c>
      <c r="D62">
        <f t="shared" si="0"/>
        <v>4980.5949446514996</v>
      </c>
      <c r="F62">
        <f t="shared" si="1"/>
        <v>1437.8033956658828</v>
      </c>
    </row>
    <row r="63" spans="1:6" x14ac:dyDescent="0.25">
      <c r="A63">
        <v>0.61999958799999999</v>
      </c>
      <c r="B63">
        <v>199.8712463</v>
      </c>
      <c r="D63">
        <f t="shared" si="0"/>
        <v>4984.2117377115001</v>
      </c>
      <c r="F63">
        <f t="shared" si="1"/>
        <v>1487.6274290776978</v>
      </c>
    </row>
    <row r="64" spans="1:6" x14ac:dyDescent="0.25">
      <c r="A64">
        <v>0.62999945899999998</v>
      </c>
      <c r="B64">
        <v>-3734.873047</v>
      </c>
      <c r="D64">
        <f t="shared" si="0"/>
        <v>4966.5367287079998</v>
      </c>
      <c r="F64">
        <f t="shared" si="1"/>
        <v>1537.3811714097953</v>
      </c>
    </row>
    <row r="65" spans="1:6" x14ac:dyDescent="0.25">
      <c r="A65">
        <v>0.63999932999999998</v>
      </c>
      <c r="B65">
        <v>-8803.8837889999995</v>
      </c>
      <c r="D65">
        <f t="shared" si="0"/>
        <v>4903.8429445279999</v>
      </c>
      <c r="F65">
        <f t="shared" si="1"/>
        <v>1586.7330697759753</v>
      </c>
    </row>
    <row r="66" spans="1:6" x14ac:dyDescent="0.25">
      <c r="A66">
        <v>0.64999967800000003</v>
      </c>
      <c r="B66">
        <v>-2278.7690429999998</v>
      </c>
      <c r="D66">
        <f t="shared" si="0"/>
        <v>4848.4296803679999</v>
      </c>
      <c r="F66">
        <f t="shared" si="1"/>
        <v>1635.4944329004552</v>
      </c>
    </row>
    <row r="67" spans="1:6" x14ac:dyDescent="0.25">
      <c r="A67">
        <v>0.65999954900000002</v>
      </c>
      <c r="B67">
        <v>14114.007809999999</v>
      </c>
      <c r="D67">
        <f t="shared" si="0"/>
        <v>4907.605874203</v>
      </c>
      <c r="F67">
        <f t="shared" si="1"/>
        <v>1684.2746106733102</v>
      </c>
    </row>
    <row r="68" spans="1:6" x14ac:dyDescent="0.25">
      <c r="A68">
        <v>0.66999942099999998</v>
      </c>
      <c r="B68">
        <v>19968.345700000002</v>
      </c>
      <c r="D68">
        <f t="shared" si="0"/>
        <v>5078.0176417530001</v>
      </c>
      <c r="F68">
        <f t="shared" si="1"/>
        <v>1734.2027282530903</v>
      </c>
    </row>
    <row r="69" spans="1:6" x14ac:dyDescent="0.25">
      <c r="A69">
        <v>0.67999923200000001</v>
      </c>
      <c r="B69">
        <v>9027.3623050000006</v>
      </c>
      <c r="D69">
        <f t="shared" ref="D69:D132" si="2">((B69+B68)/2)*0.01+D68</f>
        <v>5222.9961817780004</v>
      </c>
      <c r="F69">
        <f t="shared" ref="F69:F132" si="3">((D69+D68)/2)*0.01+F68</f>
        <v>1785.7077973707453</v>
      </c>
    </row>
    <row r="70" spans="1:6" x14ac:dyDescent="0.25">
      <c r="A70">
        <v>0.68999964000000003</v>
      </c>
      <c r="B70">
        <v>196.8180389</v>
      </c>
      <c r="D70">
        <f t="shared" si="2"/>
        <v>5269.1170834975001</v>
      </c>
      <c r="F70">
        <f t="shared" si="3"/>
        <v>1838.1683636971229</v>
      </c>
    </row>
    <row r="71" spans="1:6" x14ac:dyDescent="0.25">
      <c r="A71">
        <v>0.69999951100000002</v>
      </c>
      <c r="B71">
        <v>3154.133057</v>
      </c>
      <c r="D71">
        <f t="shared" si="2"/>
        <v>5285.8718389770002</v>
      </c>
      <c r="F71">
        <f t="shared" si="3"/>
        <v>1890.9433083094955</v>
      </c>
    </row>
    <row r="72" spans="1:6" x14ac:dyDescent="0.25">
      <c r="A72">
        <v>0.70999938299999998</v>
      </c>
      <c r="B72">
        <v>3636.3154300000001</v>
      </c>
      <c r="D72">
        <f t="shared" si="2"/>
        <v>5319.8240814119999</v>
      </c>
      <c r="F72">
        <f t="shared" si="3"/>
        <v>1943.9717879114405</v>
      </c>
    </row>
    <row r="73" spans="1:6" x14ac:dyDescent="0.25">
      <c r="A73">
        <v>0.71999919400000001</v>
      </c>
      <c r="B73">
        <v>-3835.1064449999999</v>
      </c>
      <c r="D73">
        <f t="shared" si="2"/>
        <v>5318.8301263370004</v>
      </c>
      <c r="F73">
        <f t="shared" si="3"/>
        <v>1997.1650589501855</v>
      </c>
    </row>
    <row r="74" spans="1:6" x14ac:dyDescent="0.25">
      <c r="A74">
        <v>0.72999960200000003</v>
      </c>
      <c r="B74">
        <v>-3723.656982</v>
      </c>
      <c r="D74">
        <f t="shared" si="2"/>
        <v>5281.0363092020007</v>
      </c>
      <c r="F74">
        <f t="shared" si="3"/>
        <v>2050.1643911278807</v>
      </c>
    </row>
    <row r="75" spans="1:6" x14ac:dyDescent="0.25">
      <c r="A75">
        <v>0.73999947300000002</v>
      </c>
      <c r="B75">
        <v>8620.6640630000002</v>
      </c>
      <c r="D75">
        <f t="shared" si="2"/>
        <v>5305.5213446070011</v>
      </c>
      <c r="F75">
        <f t="shared" si="3"/>
        <v>2103.0971793969256</v>
      </c>
    </row>
    <row r="76" spans="1:6" x14ac:dyDescent="0.25">
      <c r="A76">
        <v>0.74999928500000002</v>
      </c>
      <c r="B76">
        <v>18518.896479999999</v>
      </c>
      <c r="D76">
        <f t="shared" si="2"/>
        <v>5441.2191473220009</v>
      </c>
      <c r="F76">
        <f t="shared" si="3"/>
        <v>2156.8308818565706</v>
      </c>
    </row>
    <row r="77" spans="1:6" x14ac:dyDescent="0.25">
      <c r="A77">
        <v>0.75999915600000001</v>
      </c>
      <c r="B77">
        <v>20772.628909999999</v>
      </c>
      <c r="D77">
        <f t="shared" si="2"/>
        <v>5637.6767742720012</v>
      </c>
      <c r="F77">
        <f t="shared" si="3"/>
        <v>2212.2253614645406</v>
      </c>
    </row>
    <row r="78" spans="1:6" x14ac:dyDescent="0.25">
      <c r="A78">
        <v>0.76999956400000003</v>
      </c>
      <c r="B78">
        <v>26308.355469999999</v>
      </c>
      <c r="D78">
        <f t="shared" si="2"/>
        <v>5873.0816961720011</v>
      </c>
      <c r="F78">
        <f t="shared" si="3"/>
        <v>2269.7791538167608</v>
      </c>
    </row>
    <row r="79" spans="1:6" x14ac:dyDescent="0.25">
      <c r="A79">
        <v>0.77999937500000005</v>
      </c>
      <c r="B79">
        <v>38499.867189999997</v>
      </c>
      <c r="D79">
        <f t="shared" si="2"/>
        <v>6197.1228094720009</v>
      </c>
      <c r="F79">
        <f t="shared" si="3"/>
        <v>2330.1301763449806</v>
      </c>
    </row>
    <row r="80" spans="1:6" x14ac:dyDescent="0.25">
      <c r="A80">
        <v>0.78999924700000002</v>
      </c>
      <c r="B80">
        <v>43347.15625</v>
      </c>
      <c r="D80">
        <f t="shared" si="2"/>
        <v>6606.3579266720008</v>
      </c>
      <c r="F80">
        <f t="shared" si="3"/>
        <v>2394.1475800257003</v>
      </c>
    </row>
    <row r="81" spans="1:6" x14ac:dyDescent="0.25">
      <c r="A81">
        <v>0.79999911800000001</v>
      </c>
      <c r="B81">
        <v>27231.998049999998</v>
      </c>
      <c r="D81">
        <f t="shared" si="2"/>
        <v>6959.2536981720004</v>
      </c>
      <c r="F81">
        <f t="shared" si="3"/>
        <v>2461.9756381499205</v>
      </c>
    </row>
    <row r="82" spans="1:6" x14ac:dyDescent="0.25">
      <c r="A82">
        <v>0.80999952600000003</v>
      </c>
      <c r="B82">
        <v>-5115.830078</v>
      </c>
      <c r="D82">
        <f t="shared" si="2"/>
        <v>7069.8345380320006</v>
      </c>
      <c r="F82">
        <f t="shared" si="3"/>
        <v>2532.1210793309406</v>
      </c>
    </row>
    <row r="83" spans="1:6" x14ac:dyDescent="0.25">
      <c r="A83">
        <v>0.81999933700000005</v>
      </c>
      <c r="B83">
        <v>-34471.804689999997</v>
      </c>
      <c r="D83">
        <f t="shared" si="2"/>
        <v>6871.8963641920009</v>
      </c>
      <c r="F83">
        <f t="shared" si="3"/>
        <v>2601.8297338420607</v>
      </c>
    </row>
    <row r="84" spans="1:6" x14ac:dyDescent="0.25">
      <c r="A84">
        <v>0.82999920800000004</v>
      </c>
      <c r="B84">
        <v>-42498.726560000003</v>
      </c>
      <c r="D84">
        <f t="shared" si="2"/>
        <v>6487.0437079420008</v>
      </c>
      <c r="F84">
        <f t="shared" si="3"/>
        <v>2668.6244342027308</v>
      </c>
    </row>
    <row r="85" spans="1:6" x14ac:dyDescent="0.25">
      <c r="A85">
        <v>0.83999908000000001</v>
      </c>
      <c r="B85">
        <v>-25715.14258</v>
      </c>
      <c r="D85">
        <f t="shared" si="2"/>
        <v>6145.974362242001</v>
      </c>
      <c r="F85">
        <f t="shared" si="3"/>
        <v>2731.7895245536506</v>
      </c>
    </row>
    <row r="86" spans="1:6" x14ac:dyDescent="0.25">
      <c r="A86">
        <v>0.84999942799999995</v>
      </c>
      <c r="B86">
        <v>1030.639893</v>
      </c>
      <c r="D86">
        <f t="shared" si="2"/>
        <v>6022.5518488070011</v>
      </c>
      <c r="F86">
        <f t="shared" si="3"/>
        <v>2792.6321556088956</v>
      </c>
    </row>
    <row r="87" spans="1:6" x14ac:dyDescent="0.25">
      <c r="A87">
        <v>0.85999929900000005</v>
      </c>
      <c r="B87">
        <v>22642.832030000001</v>
      </c>
      <c r="D87">
        <f t="shared" si="2"/>
        <v>6140.9192084220012</v>
      </c>
      <c r="F87">
        <f t="shared" si="3"/>
        <v>2853.4495108950405</v>
      </c>
    </row>
    <row r="88" spans="1:6" x14ac:dyDescent="0.25">
      <c r="A88">
        <v>0.86999917000000004</v>
      </c>
      <c r="B88">
        <v>37701.523439999997</v>
      </c>
      <c r="D88">
        <f t="shared" si="2"/>
        <v>6442.6409857720009</v>
      </c>
      <c r="F88">
        <f t="shared" si="3"/>
        <v>2916.3673118660104</v>
      </c>
    </row>
    <row r="89" spans="1:6" x14ac:dyDescent="0.25">
      <c r="A89">
        <v>0.87999904200000001</v>
      </c>
      <c r="B89">
        <v>44151.363279999998</v>
      </c>
      <c r="D89">
        <f t="shared" si="2"/>
        <v>6851.9054193720012</v>
      </c>
      <c r="F89">
        <f t="shared" si="3"/>
        <v>2982.8400438917306</v>
      </c>
    </row>
    <row r="90" spans="1:6" x14ac:dyDescent="0.25">
      <c r="A90">
        <v>0.88999938999999995</v>
      </c>
      <c r="B90">
        <v>31546.78125</v>
      </c>
      <c r="D90">
        <f t="shared" si="2"/>
        <v>7230.3961420220012</v>
      </c>
      <c r="F90">
        <f t="shared" si="3"/>
        <v>3053.2515516987005</v>
      </c>
    </row>
    <row r="91" spans="1:6" x14ac:dyDescent="0.25">
      <c r="A91">
        <v>0.89999926100000005</v>
      </c>
      <c r="B91">
        <v>2857.6865229999999</v>
      </c>
      <c r="D91">
        <f t="shared" si="2"/>
        <v>7402.4184808870014</v>
      </c>
      <c r="F91">
        <f t="shared" si="3"/>
        <v>3126.4156248132454</v>
      </c>
    </row>
    <row r="92" spans="1:6" x14ac:dyDescent="0.25">
      <c r="A92">
        <v>0.90999913200000004</v>
      </c>
      <c r="B92">
        <v>-18342.08008</v>
      </c>
      <c r="D92">
        <f t="shared" si="2"/>
        <v>7324.9965131020017</v>
      </c>
      <c r="F92">
        <f t="shared" si="3"/>
        <v>3200.0526997831903</v>
      </c>
    </row>
    <row r="93" spans="1:6" x14ac:dyDescent="0.25">
      <c r="A93">
        <v>0.91999900300000004</v>
      </c>
      <c r="B93">
        <v>-18449.390630000002</v>
      </c>
      <c r="D93">
        <f t="shared" si="2"/>
        <v>7141.0391595520014</v>
      </c>
      <c r="F93">
        <f t="shared" si="3"/>
        <v>3272.3828781464604</v>
      </c>
    </row>
    <row r="94" spans="1:6" x14ac:dyDescent="0.25">
      <c r="A94">
        <v>0.92999935199999995</v>
      </c>
      <c r="B94">
        <v>-9187.5146480000003</v>
      </c>
      <c r="D94">
        <f t="shared" si="2"/>
        <v>7002.8546331620009</v>
      </c>
      <c r="F94">
        <f t="shared" si="3"/>
        <v>3343.1023471100302</v>
      </c>
    </row>
    <row r="95" spans="1:6" x14ac:dyDescent="0.25">
      <c r="A95">
        <v>0.93999922300000005</v>
      </c>
      <c r="B95">
        <v>-3815.423096</v>
      </c>
      <c r="D95">
        <f t="shared" si="2"/>
        <v>6937.8399444420011</v>
      </c>
      <c r="F95">
        <f t="shared" si="3"/>
        <v>3412.8058199980501</v>
      </c>
    </row>
    <row r="96" spans="1:6" x14ac:dyDescent="0.25">
      <c r="A96">
        <v>0.94999909400000004</v>
      </c>
      <c r="B96">
        <v>235.64309689999999</v>
      </c>
      <c r="D96">
        <f t="shared" si="2"/>
        <v>6919.9410444465011</v>
      </c>
      <c r="F96">
        <f t="shared" si="3"/>
        <v>3482.0947249424926</v>
      </c>
    </row>
    <row r="97" spans="1:6" x14ac:dyDescent="0.25">
      <c r="A97">
        <v>0.95999896500000004</v>
      </c>
      <c r="B97">
        <v>9225.9208980000003</v>
      </c>
      <c r="D97">
        <f t="shared" si="2"/>
        <v>6967.2488644210007</v>
      </c>
      <c r="F97">
        <f t="shared" si="3"/>
        <v>3551.5306744868299</v>
      </c>
    </row>
    <row r="98" spans="1:6" x14ac:dyDescent="0.25">
      <c r="A98">
        <v>0.96999931299999997</v>
      </c>
      <c r="B98">
        <v>17838.974610000001</v>
      </c>
      <c r="D98">
        <f t="shared" si="2"/>
        <v>7102.5733419610006</v>
      </c>
      <c r="F98">
        <f t="shared" si="3"/>
        <v>3621.8797855187399</v>
      </c>
    </row>
    <row r="99" spans="1:6" x14ac:dyDescent="0.25">
      <c r="A99">
        <v>0.97999918500000005</v>
      </c>
      <c r="B99">
        <v>17357</v>
      </c>
      <c r="D99">
        <f t="shared" si="2"/>
        <v>7278.5532150110002</v>
      </c>
      <c r="F99">
        <f t="shared" si="3"/>
        <v>3693.7854183035997</v>
      </c>
    </row>
    <row r="100" spans="1:6" x14ac:dyDescent="0.25">
      <c r="A100">
        <v>0.98999905600000004</v>
      </c>
      <c r="B100">
        <v>11105.502930000001</v>
      </c>
      <c r="D100">
        <f t="shared" si="2"/>
        <v>7420.8657296609999</v>
      </c>
      <c r="F100">
        <f t="shared" si="3"/>
        <v>3767.2825130269598</v>
      </c>
    </row>
    <row r="101" spans="1:6" x14ac:dyDescent="0.25">
      <c r="A101">
        <v>0.99999892700000004</v>
      </c>
      <c r="B101">
        <v>6518.7846680000002</v>
      </c>
      <c r="D101">
        <f t="shared" si="2"/>
        <v>7508.9871676510002</v>
      </c>
      <c r="F101">
        <f t="shared" si="3"/>
        <v>3841.9317775135196</v>
      </c>
    </row>
    <row r="102" spans="1:6" x14ac:dyDescent="0.25">
      <c r="A102">
        <v>1.009999275</v>
      </c>
      <c r="B102">
        <v>708.03301999999996</v>
      </c>
      <c r="D102">
        <f t="shared" si="2"/>
        <v>7545.1212560909999</v>
      </c>
      <c r="F102">
        <f t="shared" si="3"/>
        <v>3917.2023196322298</v>
      </c>
    </row>
    <row r="103" spans="1:6" x14ac:dyDescent="0.25">
      <c r="A103">
        <v>1.0199991470000001</v>
      </c>
      <c r="B103">
        <v>-11166.27637</v>
      </c>
      <c r="D103">
        <f t="shared" si="2"/>
        <v>7492.830039341</v>
      </c>
      <c r="F103">
        <f t="shared" si="3"/>
        <v>3992.3920761093896</v>
      </c>
    </row>
    <row r="104" spans="1:6" x14ac:dyDescent="0.25">
      <c r="A104">
        <v>1.029999018</v>
      </c>
      <c r="B104">
        <v>-21500.646479999999</v>
      </c>
      <c r="D104">
        <f t="shared" si="2"/>
        <v>7329.4954250909996</v>
      </c>
      <c r="F104">
        <f t="shared" si="3"/>
        <v>4066.5037034315496</v>
      </c>
    </row>
    <row r="105" spans="1:6" x14ac:dyDescent="0.25">
      <c r="A105">
        <v>1.039999366</v>
      </c>
      <c r="B105">
        <v>-18159.007809999999</v>
      </c>
      <c r="D105">
        <f t="shared" si="2"/>
        <v>7131.1971536409992</v>
      </c>
      <c r="F105">
        <f t="shared" si="3"/>
        <v>4138.8071663252094</v>
      </c>
    </row>
    <row r="106" spans="1:6" x14ac:dyDescent="0.25">
      <c r="A106">
        <v>1.049999237</v>
      </c>
      <c r="B106">
        <v>-2731.3686520000001</v>
      </c>
      <c r="D106">
        <f t="shared" si="2"/>
        <v>7026.7452713309995</v>
      </c>
      <c r="F106">
        <f t="shared" si="3"/>
        <v>4209.5968784500692</v>
      </c>
    </row>
    <row r="107" spans="1:6" x14ac:dyDescent="0.25">
      <c r="A107">
        <v>1.059999108</v>
      </c>
      <c r="B107">
        <v>10915.24121</v>
      </c>
      <c r="D107">
        <f t="shared" si="2"/>
        <v>7067.6646341209998</v>
      </c>
      <c r="F107">
        <f t="shared" si="3"/>
        <v>4280.0689279773296</v>
      </c>
    </row>
    <row r="108" spans="1:6" x14ac:dyDescent="0.25">
      <c r="A108">
        <v>1.06999898</v>
      </c>
      <c r="B108">
        <v>15427.63672</v>
      </c>
      <c r="D108">
        <f t="shared" si="2"/>
        <v>7199.379023771</v>
      </c>
      <c r="F108">
        <f t="shared" si="3"/>
        <v>4351.4041462667892</v>
      </c>
    </row>
    <row r="109" spans="1:6" x14ac:dyDescent="0.25">
      <c r="A109">
        <v>1.079999328</v>
      </c>
      <c r="B109">
        <v>17291.84375</v>
      </c>
      <c r="D109">
        <f t="shared" si="2"/>
        <v>7362.9764261210003</v>
      </c>
      <c r="F109">
        <f t="shared" si="3"/>
        <v>4424.2159235162489</v>
      </c>
    </row>
    <row r="110" spans="1:6" x14ac:dyDescent="0.25">
      <c r="A110">
        <v>1.089999199</v>
      </c>
      <c r="B110">
        <v>20364.212889999999</v>
      </c>
      <c r="D110">
        <f t="shared" si="2"/>
        <v>7551.256709321</v>
      </c>
      <c r="F110">
        <f t="shared" si="3"/>
        <v>4498.787089193459</v>
      </c>
    </row>
    <row r="111" spans="1:6" x14ac:dyDescent="0.25">
      <c r="A111">
        <v>1.09999907</v>
      </c>
      <c r="B111">
        <v>14170.48047</v>
      </c>
      <c r="D111">
        <f t="shared" si="2"/>
        <v>7723.9301761209999</v>
      </c>
      <c r="F111">
        <f t="shared" si="3"/>
        <v>4575.1630236206693</v>
      </c>
    </row>
    <row r="112" spans="1:6" x14ac:dyDescent="0.25">
      <c r="A112">
        <v>1.109998941</v>
      </c>
      <c r="B112">
        <v>-4804.0126950000003</v>
      </c>
      <c r="D112">
        <f t="shared" si="2"/>
        <v>7770.7625149960004</v>
      </c>
      <c r="F112">
        <f t="shared" si="3"/>
        <v>4652.6364870762545</v>
      </c>
    </row>
    <row r="113" spans="1:6" x14ac:dyDescent="0.25">
      <c r="A113">
        <v>1.11999929</v>
      </c>
      <c r="B113">
        <v>-17087.714840000001</v>
      </c>
      <c r="D113">
        <f t="shared" si="2"/>
        <v>7661.3038773210001</v>
      </c>
      <c r="F113">
        <f t="shared" si="3"/>
        <v>4729.7968190378397</v>
      </c>
    </row>
    <row r="114" spans="1:6" x14ac:dyDescent="0.25">
      <c r="A114">
        <v>1.129999161</v>
      </c>
      <c r="B114">
        <v>-10940.56738</v>
      </c>
      <c r="D114">
        <f t="shared" si="2"/>
        <v>7521.1624662209997</v>
      </c>
      <c r="F114">
        <f t="shared" si="3"/>
        <v>4805.7091507555497</v>
      </c>
    </row>
    <row r="115" spans="1:6" x14ac:dyDescent="0.25">
      <c r="A115">
        <v>1.139999032</v>
      </c>
      <c r="B115">
        <v>-3604.1762699999999</v>
      </c>
      <c r="D115">
        <f t="shared" si="2"/>
        <v>7448.4387479709994</v>
      </c>
      <c r="F115">
        <f t="shared" si="3"/>
        <v>4880.5571568265095</v>
      </c>
    </row>
    <row r="116" spans="1:6" x14ac:dyDescent="0.25">
      <c r="A116">
        <v>1.149998903</v>
      </c>
      <c r="B116">
        <v>-4755.720703</v>
      </c>
      <c r="D116">
        <f t="shared" si="2"/>
        <v>7406.6392631059998</v>
      </c>
      <c r="F116">
        <f t="shared" si="3"/>
        <v>4954.8325468818948</v>
      </c>
    </row>
    <row r="117" spans="1:6" x14ac:dyDescent="0.25">
      <c r="A117">
        <v>1.1599992509999999</v>
      </c>
      <c r="B117">
        <v>2575.2387699999999</v>
      </c>
      <c r="D117">
        <f t="shared" si="2"/>
        <v>7395.7368534409998</v>
      </c>
      <c r="F117">
        <f t="shared" si="3"/>
        <v>5028.8444274646299</v>
      </c>
    </row>
    <row r="118" spans="1:6" x14ac:dyDescent="0.25">
      <c r="A118">
        <v>1.169999123</v>
      </c>
      <c r="B118">
        <v>20230.421880000002</v>
      </c>
      <c r="D118">
        <f t="shared" si="2"/>
        <v>7509.7651566909999</v>
      </c>
      <c r="F118">
        <f t="shared" si="3"/>
        <v>5103.3719375152896</v>
      </c>
    </row>
    <row r="119" spans="1:6" x14ac:dyDescent="0.25">
      <c r="A119">
        <v>1.179998994</v>
      </c>
      <c r="B119">
        <v>22543.871090000001</v>
      </c>
      <c r="D119">
        <f t="shared" si="2"/>
        <v>7723.6366215409998</v>
      </c>
      <c r="F119">
        <f t="shared" si="3"/>
        <v>5179.5389464064492</v>
      </c>
    </row>
    <row r="120" spans="1:6" x14ac:dyDescent="0.25">
      <c r="A120">
        <v>1.189998865</v>
      </c>
      <c r="B120">
        <v>4964.3344729999999</v>
      </c>
      <c r="D120">
        <f t="shared" si="2"/>
        <v>7861.1776493560001</v>
      </c>
      <c r="F120">
        <f t="shared" si="3"/>
        <v>5257.4630177609342</v>
      </c>
    </row>
    <row r="121" spans="1:6" x14ac:dyDescent="0.25">
      <c r="A121">
        <v>1.1999992129999999</v>
      </c>
      <c r="B121">
        <v>-4749.0048829999996</v>
      </c>
      <c r="D121">
        <f t="shared" si="2"/>
        <v>7862.2542973059999</v>
      </c>
      <c r="F121">
        <f t="shared" si="3"/>
        <v>5336.0801774942438</v>
      </c>
    </row>
    <row r="122" spans="1:6" x14ac:dyDescent="0.25">
      <c r="A122">
        <v>1.209999085</v>
      </c>
      <c r="B122">
        <v>2816.4060060000002</v>
      </c>
      <c r="D122">
        <f t="shared" si="2"/>
        <v>7852.5913029209996</v>
      </c>
      <c r="F122">
        <f t="shared" si="3"/>
        <v>5414.6544054953793</v>
      </c>
    </row>
    <row r="123" spans="1:6" x14ac:dyDescent="0.25">
      <c r="A123">
        <v>1.219998956</v>
      </c>
      <c r="B123">
        <v>5640.0561520000001</v>
      </c>
      <c r="D123">
        <f t="shared" si="2"/>
        <v>7894.873613711</v>
      </c>
      <c r="F123">
        <f t="shared" si="3"/>
        <v>5493.3917300785397</v>
      </c>
    </row>
    <row r="124" spans="1:6" x14ac:dyDescent="0.25">
      <c r="A124">
        <v>1.229998827</v>
      </c>
      <c r="B124">
        <v>-5116.5200199999999</v>
      </c>
      <c r="D124">
        <f t="shared" si="2"/>
        <v>7897.4912943709996</v>
      </c>
      <c r="F124">
        <f t="shared" si="3"/>
        <v>5572.3535546189496</v>
      </c>
    </row>
    <row r="125" spans="1:6" x14ac:dyDescent="0.25">
      <c r="A125">
        <v>1.2399991749999999</v>
      </c>
      <c r="B125">
        <v>-13749.44629</v>
      </c>
      <c r="D125">
        <f t="shared" si="2"/>
        <v>7803.161462821</v>
      </c>
      <c r="F125">
        <f t="shared" si="3"/>
        <v>5650.85681840491</v>
      </c>
    </row>
    <row r="126" spans="1:6" x14ac:dyDescent="0.25">
      <c r="A126">
        <v>1.2499990459999999</v>
      </c>
      <c r="B126">
        <v>-11266.452149999999</v>
      </c>
      <c r="D126">
        <f t="shared" si="2"/>
        <v>7678.0819706210004</v>
      </c>
      <c r="F126">
        <f t="shared" si="3"/>
        <v>5728.2630355721203</v>
      </c>
    </row>
    <row r="127" spans="1:6" x14ac:dyDescent="0.25">
      <c r="A127">
        <v>1.259998918</v>
      </c>
      <c r="B127">
        <v>-1580.9785159999999</v>
      </c>
      <c r="D127">
        <f t="shared" si="2"/>
        <v>7613.8448172910003</v>
      </c>
      <c r="F127">
        <f t="shared" si="3"/>
        <v>5804.7226695116806</v>
      </c>
    </row>
    <row r="128" spans="1:6" x14ac:dyDescent="0.25">
      <c r="A128">
        <v>1.269998789</v>
      </c>
      <c r="B128">
        <v>10393.54883</v>
      </c>
      <c r="D128">
        <f t="shared" si="2"/>
        <v>7657.9076688610003</v>
      </c>
      <c r="F128">
        <f t="shared" si="3"/>
        <v>5881.0814319424408</v>
      </c>
    </row>
    <row r="129" spans="1:6" x14ac:dyDescent="0.25">
      <c r="A129">
        <v>1.2799991369999999</v>
      </c>
      <c r="B129">
        <v>17202.166020000001</v>
      </c>
      <c r="D129">
        <f t="shared" si="2"/>
        <v>7795.8862431110001</v>
      </c>
      <c r="F129">
        <f t="shared" si="3"/>
        <v>5958.3504015023009</v>
      </c>
    </row>
    <row r="130" spans="1:6" x14ac:dyDescent="0.25">
      <c r="A130">
        <v>1.2899990079999999</v>
      </c>
      <c r="B130">
        <v>13942.08887</v>
      </c>
      <c r="D130">
        <f t="shared" si="2"/>
        <v>7951.6075175610003</v>
      </c>
      <c r="F130">
        <f t="shared" si="3"/>
        <v>6037.0878703056605</v>
      </c>
    </row>
    <row r="131" spans="1:6" x14ac:dyDescent="0.25">
      <c r="A131">
        <v>1.2999988790000001</v>
      </c>
      <c r="B131">
        <v>6990.6025390000004</v>
      </c>
      <c r="D131">
        <f t="shared" si="2"/>
        <v>8056.270974606</v>
      </c>
      <c r="F131">
        <f t="shared" si="3"/>
        <v>6117.1272627664957</v>
      </c>
    </row>
    <row r="132" spans="1:6" x14ac:dyDescent="0.25">
      <c r="A132">
        <v>1.309998751</v>
      </c>
      <c r="B132">
        <v>2685.3647460000002</v>
      </c>
      <c r="D132">
        <f t="shared" si="2"/>
        <v>8104.6508110309996</v>
      </c>
      <c r="F132">
        <f t="shared" si="3"/>
        <v>6197.9318716946809</v>
      </c>
    </row>
    <row r="133" spans="1:6" x14ac:dyDescent="0.25">
      <c r="A133">
        <v>1.3199990989999999</v>
      </c>
      <c r="B133">
        <v>-1143.6898189999999</v>
      </c>
      <c r="D133">
        <f t="shared" ref="D133" si="4">((B133+B132)/2)*0.01+D132</f>
        <v>8112.3591856659996</v>
      </c>
      <c r="F133">
        <f t="shared" ref="F133" si="5">((D133+D132)/2)*0.01+F132</f>
        <v>6279.016921678166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FF00"/>
  </sheetPr>
  <dimension ref="A1:F133"/>
  <sheetViews>
    <sheetView zoomScale="172" workbookViewId="0">
      <selection activeCell="H7" sqref="H7"/>
    </sheetView>
  </sheetViews>
  <sheetFormatPr defaultRowHeight="15" x14ac:dyDescent="0.25"/>
  <sheetData>
    <row r="1" spans="1:6" x14ac:dyDescent="0.25">
      <c r="A1" t="s">
        <v>5</v>
      </c>
    </row>
    <row r="2" spans="1:6" x14ac:dyDescent="0.25">
      <c r="A2" s="1" t="s">
        <v>3</v>
      </c>
      <c r="B2" t="s">
        <v>4</v>
      </c>
      <c r="D2" t="s">
        <v>6</v>
      </c>
      <c r="F2" t="s">
        <v>7</v>
      </c>
    </row>
    <row r="4" spans="1:6" x14ac:dyDescent="0.25">
      <c r="A4">
        <v>2.999959E-2</v>
      </c>
      <c r="B4">
        <v>-3206.3957519999999</v>
      </c>
      <c r="D4">
        <f>((B4+B3)/2)*0.01+D3</f>
        <v>-16.031978760000001</v>
      </c>
      <c r="F4">
        <f>((D4+D3)/2)*0.01+F3</f>
        <v>-8.0159893800000007E-2</v>
      </c>
    </row>
    <row r="5" spans="1:6" x14ac:dyDescent="0.25">
      <c r="A5">
        <v>3.9999958000000002E-2</v>
      </c>
      <c r="B5">
        <v>-5408.4360349999997</v>
      </c>
      <c r="D5">
        <f t="shared" ref="D5:D68" si="0">((B5+B4)/2)*0.01+D4</f>
        <v>-59.106137695000001</v>
      </c>
      <c r="F5">
        <f t="shared" ref="F5:F68" si="1">((D5+D4)/2)*0.01+F4</f>
        <v>-0.45585047607500001</v>
      </c>
    </row>
    <row r="6" spans="1:6" x14ac:dyDescent="0.25">
      <c r="A6">
        <v>4.9999818000000001E-2</v>
      </c>
      <c r="B6">
        <v>-5601.0874020000001</v>
      </c>
      <c r="D6">
        <f t="shared" si="0"/>
        <v>-114.15375488000001</v>
      </c>
      <c r="F6">
        <f t="shared" si="1"/>
        <v>-1.32214993895</v>
      </c>
    </row>
    <row r="7" spans="1:6" x14ac:dyDescent="0.25">
      <c r="A7">
        <v>5.9999681999999999E-2</v>
      </c>
      <c r="B7">
        <v>-2089.9152829999998</v>
      </c>
      <c r="D7">
        <f t="shared" si="0"/>
        <v>-152.60876830500001</v>
      </c>
      <c r="F7">
        <f t="shared" si="1"/>
        <v>-2.6559625548749999</v>
      </c>
    </row>
    <row r="8" spans="1:6" x14ac:dyDescent="0.25">
      <c r="A8">
        <v>6.9999545999999996E-2</v>
      </c>
      <c r="B8">
        <v>3489.6308589999999</v>
      </c>
      <c r="D8">
        <f t="shared" si="0"/>
        <v>-145.61019042500001</v>
      </c>
      <c r="F8">
        <f t="shared" si="1"/>
        <v>-4.1470573485250002</v>
      </c>
    </row>
    <row r="9" spans="1:6" x14ac:dyDescent="0.25">
      <c r="A9">
        <v>7.9999916000000004E-2</v>
      </c>
      <c r="B9">
        <v>4211.7846680000002</v>
      </c>
      <c r="D9">
        <f t="shared" si="0"/>
        <v>-107.10311279000001</v>
      </c>
      <c r="F9">
        <f t="shared" si="1"/>
        <v>-5.4106238646000007</v>
      </c>
    </row>
    <row r="10" spans="1:6" x14ac:dyDescent="0.25">
      <c r="A10">
        <v>8.9999773000000005E-2</v>
      </c>
      <c r="B10">
        <v>-1156.8688970000001</v>
      </c>
      <c r="D10">
        <f t="shared" si="0"/>
        <v>-91.82853393500001</v>
      </c>
      <c r="F10">
        <f t="shared" si="1"/>
        <v>-6.4052820982250012</v>
      </c>
    </row>
    <row r="11" spans="1:6" x14ac:dyDescent="0.25">
      <c r="A11">
        <v>9.9999636000000003E-2</v>
      </c>
      <c r="B11">
        <v>-3763.58374</v>
      </c>
      <c r="D11">
        <f t="shared" si="0"/>
        <v>-116.43079712000001</v>
      </c>
      <c r="F11">
        <f t="shared" si="1"/>
        <v>-7.4465787535000008</v>
      </c>
    </row>
    <row r="12" spans="1:6" x14ac:dyDescent="0.25">
      <c r="A12">
        <v>0.1099995</v>
      </c>
      <c r="B12">
        <v>-220.30354310000001</v>
      </c>
      <c r="D12">
        <f t="shared" si="0"/>
        <v>-136.3502335355</v>
      </c>
      <c r="F12">
        <f t="shared" si="1"/>
        <v>-8.7104839067775011</v>
      </c>
    </row>
    <row r="13" spans="1:6" x14ac:dyDescent="0.25">
      <c r="A13">
        <v>0.11999987099999999</v>
      </c>
      <c r="B13">
        <v>1358.0454099999999</v>
      </c>
      <c r="D13">
        <f t="shared" si="0"/>
        <v>-130.66152420099999</v>
      </c>
      <c r="F13">
        <f t="shared" si="1"/>
        <v>-10.045542695460002</v>
      </c>
    </row>
    <row r="14" spans="1:6" x14ac:dyDescent="0.25">
      <c r="A14">
        <v>0.12999972700000001</v>
      </c>
      <c r="B14">
        <v>986.48443599999996</v>
      </c>
      <c r="D14">
        <f t="shared" si="0"/>
        <v>-118.93887497099999</v>
      </c>
      <c r="F14">
        <f t="shared" si="1"/>
        <v>-11.293544691320001</v>
      </c>
    </row>
    <row r="15" spans="1:6" x14ac:dyDescent="0.25">
      <c r="A15">
        <v>0.139999598</v>
      </c>
      <c r="B15">
        <v>8570.3027340000008</v>
      </c>
      <c r="D15">
        <f t="shared" si="0"/>
        <v>-71.154939120999984</v>
      </c>
      <c r="F15">
        <f t="shared" si="1"/>
        <v>-12.244013761780002</v>
      </c>
    </row>
    <row r="16" spans="1:6" x14ac:dyDescent="0.25">
      <c r="A16">
        <v>0.14999996099999999</v>
      </c>
      <c r="B16">
        <v>12298.09375</v>
      </c>
      <c r="D16">
        <f t="shared" si="0"/>
        <v>33.187043299000024</v>
      </c>
      <c r="F16">
        <f t="shared" si="1"/>
        <v>-12.433853240890002</v>
      </c>
    </row>
    <row r="17" spans="1:6" x14ac:dyDescent="0.25">
      <c r="A17">
        <v>0.15999983300000001</v>
      </c>
      <c r="B17">
        <v>-11953.0625</v>
      </c>
      <c r="D17">
        <f t="shared" si="0"/>
        <v>34.912199549000022</v>
      </c>
      <c r="F17">
        <f t="shared" si="1"/>
        <v>-12.093357026650002</v>
      </c>
    </row>
    <row r="18" spans="1:6" x14ac:dyDescent="0.25">
      <c r="A18">
        <v>0.16999968900000001</v>
      </c>
      <c r="B18">
        <v>-40712.496090000001</v>
      </c>
      <c r="D18">
        <f t="shared" si="0"/>
        <v>-228.41559340099997</v>
      </c>
      <c r="F18">
        <f t="shared" si="1"/>
        <v>-13.060873995910002</v>
      </c>
    </row>
    <row r="19" spans="1:6" x14ac:dyDescent="0.25">
      <c r="A19">
        <v>0.17999954500000001</v>
      </c>
      <c r="B19">
        <v>-24722.662110000001</v>
      </c>
      <c r="D19">
        <f t="shared" si="0"/>
        <v>-555.59138440100003</v>
      </c>
      <c r="F19">
        <f t="shared" si="1"/>
        <v>-16.980908884920002</v>
      </c>
    </row>
    <row r="20" spans="1:6" x14ac:dyDescent="0.25">
      <c r="A20">
        <v>0.18999992299999999</v>
      </c>
      <c r="B20">
        <v>20261.748049999998</v>
      </c>
      <c r="D20">
        <f t="shared" si="0"/>
        <v>-577.89595470100005</v>
      </c>
      <c r="F20">
        <f t="shared" si="1"/>
        <v>-22.648345580430004</v>
      </c>
    </row>
    <row r="21" spans="1:6" x14ac:dyDescent="0.25">
      <c r="A21">
        <v>0.19999977899999999</v>
      </c>
      <c r="B21">
        <v>37988.386720000002</v>
      </c>
      <c r="D21">
        <f t="shared" si="0"/>
        <v>-286.645280851</v>
      </c>
      <c r="F21">
        <f t="shared" si="1"/>
        <v>-26.971051758190004</v>
      </c>
    </row>
    <row r="22" spans="1:6" x14ac:dyDescent="0.25">
      <c r="A22">
        <v>0.20999965100000001</v>
      </c>
      <c r="B22">
        <v>23164.197270000001</v>
      </c>
      <c r="D22">
        <f t="shared" si="0"/>
        <v>19.11763909900003</v>
      </c>
      <c r="F22">
        <f t="shared" si="1"/>
        <v>-28.308689966950006</v>
      </c>
    </row>
    <row r="23" spans="1:6" x14ac:dyDescent="0.25">
      <c r="A23">
        <v>0.22000001399999999</v>
      </c>
      <c r="B23">
        <v>6621.9741210000002</v>
      </c>
      <c r="D23">
        <f t="shared" si="0"/>
        <v>168.04849605400003</v>
      </c>
      <c r="F23">
        <f t="shared" si="1"/>
        <v>-27.372859291185005</v>
      </c>
    </row>
    <row r="24" spans="1:6" x14ac:dyDescent="0.25">
      <c r="A24">
        <v>0.22999987</v>
      </c>
      <c r="B24">
        <v>252.9771729</v>
      </c>
      <c r="D24">
        <f t="shared" si="0"/>
        <v>202.42325252350003</v>
      </c>
      <c r="F24">
        <f t="shared" si="1"/>
        <v>-25.520500548297505</v>
      </c>
    </row>
    <row r="25" spans="1:6" x14ac:dyDescent="0.25">
      <c r="A25">
        <v>0.23999974099999999</v>
      </c>
      <c r="B25">
        <v>-1893.2885739999999</v>
      </c>
      <c r="D25">
        <f t="shared" si="0"/>
        <v>194.22169551800002</v>
      </c>
      <c r="F25">
        <f t="shared" si="1"/>
        <v>-23.537275808090005</v>
      </c>
    </row>
    <row r="26" spans="1:6" x14ac:dyDescent="0.25">
      <c r="A26">
        <v>0.24999959799999999</v>
      </c>
      <c r="B26">
        <v>-11262.655269999999</v>
      </c>
      <c r="D26">
        <f t="shared" si="0"/>
        <v>128.44197629800001</v>
      </c>
      <c r="F26">
        <f t="shared" si="1"/>
        <v>-21.923957449010004</v>
      </c>
    </row>
    <row r="27" spans="1:6" x14ac:dyDescent="0.25">
      <c r="A27">
        <v>0.259999961</v>
      </c>
      <c r="B27">
        <v>-28543.98242</v>
      </c>
      <c r="D27">
        <f t="shared" si="0"/>
        <v>-70.591212151999997</v>
      </c>
      <c r="F27">
        <f t="shared" si="1"/>
        <v>-21.634703628280004</v>
      </c>
    </row>
    <row r="28" spans="1:6" x14ac:dyDescent="0.25">
      <c r="A28">
        <v>0.269999832</v>
      </c>
      <c r="B28">
        <v>-27831.917969999999</v>
      </c>
      <c r="D28">
        <f t="shared" si="0"/>
        <v>-352.47071410199999</v>
      </c>
      <c r="F28">
        <f t="shared" si="1"/>
        <v>-23.750013259550006</v>
      </c>
    </row>
    <row r="29" spans="1:6" x14ac:dyDescent="0.25">
      <c r="A29">
        <v>0.27999970299999999</v>
      </c>
      <c r="B29">
        <v>4625.0498049999997</v>
      </c>
      <c r="D29">
        <f t="shared" si="0"/>
        <v>-468.505054927</v>
      </c>
      <c r="F29">
        <f t="shared" si="1"/>
        <v>-27.854892104695004</v>
      </c>
    </row>
    <row r="30" spans="1:6" x14ac:dyDescent="0.25">
      <c r="A30">
        <v>0.28999954500000003</v>
      </c>
      <c r="B30">
        <v>34916.628909999999</v>
      </c>
      <c r="D30">
        <f t="shared" si="0"/>
        <v>-270.796661352</v>
      </c>
      <c r="F30">
        <f t="shared" si="1"/>
        <v>-31.551400686090005</v>
      </c>
    </row>
    <row r="31" spans="1:6" x14ac:dyDescent="0.25">
      <c r="A31">
        <v>0.299999923</v>
      </c>
      <c r="B31">
        <v>30065.86133</v>
      </c>
      <c r="D31">
        <f t="shared" si="0"/>
        <v>54.11578984800002</v>
      </c>
      <c r="F31">
        <f t="shared" si="1"/>
        <v>-32.634805043610008</v>
      </c>
    </row>
    <row r="32" spans="1:6" x14ac:dyDescent="0.25">
      <c r="A32">
        <v>0.309999794</v>
      </c>
      <c r="B32">
        <v>4429.4091799999997</v>
      </c>
      <c r="D32">
        <f t="shared" si="0"/>
        <v>226.59214239800002</v>
      </c>
      <c r="F32">
        <f t="shared" si="1"/>
        <v>-31.231265382380009</v>
      </c>
    </row>
    <row r="33" spans="1:6" x14ac:dyDescent="0.25">
      <c r="A33">
        <v>0.31999966499999999</v>
      </c>
      <c r="B33">
        <v>-12721.54981</v>
      </c>
      <c r="D33">
        <f t="shared" si="0"/>
        <v>185.13143924800002</v>
      </c>
      <c r="F33">
        <f t="shared" si="1"/>
        <v>-29.172647474150008</v>
      </c>
    </row>
    <row r="34" spans="1:6" x14ac:dyDescent="0.25">
      <c r="A34">
        <v>0.329999506</v>
      </c>
      <c r="B34">
        <v>-14397.202149999999</v>
      </c>
      <c r="D34">
        <f t="shared" si="0"/>
        <v>49.537679448000006</v>
      </c>
      <c r="F34">
        <f t="shared" si="1"/>
        <v>-27.999301880670007</v>
      </c>
    </row>
    <row r="35" spans="1:6" x14ac:dyDescent="0.25">
      <c r="A35">
        <v>0.33999988399999997</v>
      </c>
      <c r="B35">
        <v>-6986.1801759999998</v>
      </c>
      <c r="D35">
        <f t="shared" si="0"/>
        <v>-57.379232181999996</v>
      </c>
      <c r="F35">
        <f t="shared" si="1"/>
        <v>-28.038509644340007</v>
      </c>
    </row>
    <row r="36" spans="1:6" x14ac:dyDescent="0.25">
      <c r="A36">
        <v>0.349999756</v>
      </c>
      <c r="B36">
        <v>3707.1804200000001</v>
      </c>
      <c r="D36">
        <f t="shared" si="0"/>
        <v>-73.77423096199999</v>
      </c>
      <c r="F36">
        <f t="shared" si="1"/>
        <v>-28.694276960060005</v>
      </c>
    </row>
    <row r="37" spans="1:6" x14ac:dyDescent="0.25">
      <c r="A37">
        <v>0.359999597</v>
      </c>
      <c r="B37">
        <v>9807.4267579999996</v>
      </c>
      <c r="D37">
        <f t="shared" si="0"/>
        <v>-6.2011950719999902</v>
      </c>
      <c r="F37">
        <f t="shared" si="1"/>
        <v>-29.094154090230006</v>
      </c>
    </row>
    <row r="38" spans="1:6" x14ac:dyDescent="0.25">
      <c r="A38">
        <v>0.369999468</v>
      </c>
      <c r="B38">
        <v>2097.4470219999998</v>
      </c>
      <c r="D38">
        <f t="shared" si="0"/>
        <v>53.323173828000009</v>
      </c>
      <c r="F38">
        <f t="shared" si="1"/>
        <v>-28.858544196450005</v>
      </c>
    </row>
    <row r="39" spans="1:6" x14ac:dyDescent="0.25">
      <c r="A39">
        <v>0.37999984599999997</v>
      </c>
      <c r="B39">
        <v>-12393.4043</v>
      </c>
      <c r="D39">
        <f t="shared" si="0"/>
        <v>1.8433874380000077</v>
      </c>
      <c r="F39">
        <f t="shared" si="1"/>
        <v>-28.582711390120004</v>
      </c>
    </row>
    <row r="40" spans="1:6" x14ac:dyDescent="0.25">
      <c r="A40">
        <v>0.38999968800000001</v>
      </c>
      <c r="B40">
        <v>-9166.4306639999995</v>
      </c>
      <c r="D40">
        <f t="shared" si="0"/>
        <v>-105.955787382</v>
      </c>
      <c r="F40">
        <f t="shared" si="1"/>
        <v>-29.103273389840005</v>
      </c>
    </row>
    <row r="41" spans="1:6" x14ac:dyDescent="0.25">
      <c r="A41">
        <v>0.399999559</v>
      </c>
      <c r="B41">
        <v>10817.76953</v>
      </c>
      <c r="D41">
        <f t="shared" si="0"/>
        <v>-97.699093051999995</v>
      </c>
      <c r="F41">
        <f t="shared" si="1"/>
        <v>-30.121547792010006</v>
      </c>
    </row>
    <row r="42" spans="1:6" x14ac:dyDescent="0.25">
      <c r="A42">
        <v>0.40999943</v>
      </c>
      <c r="B42">
        <v>16025.38574</v>
      </c>
      <c r="D42">
        <f t="shared" si="0"/>
        <v>36.516683298000004</v>
      </c>
      <c r="F42">
        <f t="shared" si="1"/>
        <v>-30.427459840780006</v>
      </c>
    </row>
    <row r="43" spans="1:6" x14ac:dyDescent="0.25">
      <c r="A43">
        <v>0.41999980799999997</v>
      </c>
      <c r="B43">
        <v>4024.7375489999999</v>
      </c>
      <c r="D43">
        <f t="shared" si="0"/>
        <v>136.767299743</v>
      </c>
      <c r="F43">
        <f t="shared" si="1"/>
        <v>-29.561039925575006</v>
      </c>
    </row>
    <row r="44" spans="1:6" x14ac:dyDescent="0.25">
      <c r="A44">
        <v>0.42999965000000001</v>
      </c>
      <c r="B44">
        <v>-142.84140020000001</v>
      </c>
      <c r="D44">
        <f t="shared" si="0"/>
        <v>156.176780487</v>
      </c>
      <c r="F44">
        <f t="shared" si="1"/>
        <v>-28.096319524425006</v>
      </c>
    </row>
    <row r="45" spans="1:6" x14ac:dyDescent="0.25">
      <c r="A45">
        <v>0.439999521</v>
      </c>
      <c r="B45">
        <v>2650.3063969999998</v>
      </c>
      <c r="D45">
        <f t="shared" si="0"/>
        <v>168.71410547100001</v>
      </c>
      <c r="F45">
        <f t="shared" si="1"/>
        <v>-26.471865094635007</v>
      </c>
    </row>
    <row r="46" spans="1:6" x14ac:dyDescent="0.25">
      <c r="A46">
        <v>0.449999392</v>
      </c>
      <c r="B46">
        <v>-1330.464111</v>
      </c>
      <c r="D46">
        <f t="shared" si="0"/>
        <v>175.31331690100001</v>
      </c>
      <c r="F46">
        <f t="shared" si="1"/>
        <v>-24.751727982775005</v>
      </c>
    </row>
    <row r="47" spans="1:6" x14ac:dyDescent="0.25">
      <c r="A47">
        <v>0.45999973999999999</v>
      </c>
      <c r="B47">
        <v>-7863.7905270000001</v>
      </c>
      <c r="D47">
        <f t="shared" si="0"/>
        <v>129.342043711</v>
      </c>
      <c r="F47">
        <f t="shared" si="1"/>
        <v>-23.228451179715005</v>
      </c>
    </row>
    <row r="48" spans="1:6" x14ac:dyDescent="0.25">
      <c r="A48">
        <v>0.46999961099999998</v>
      </c>
      <c r="B48">
        <v>-8422.6435550000006</v>
      </c>
      <c r="D48">
        <f t="shared" si="0"/>
        <v>47.909873301000005</v>
      </c>
      <c r="F48">
        <f t="shared" si="1"/>
        <v>-22.342191594655006</v>
      </c>
    </row>
    <row r="49" spans="1:6" x14ac:dyDescent="0.25">
      <c r="A49">
        <v>0.479999483</v>
      </c>
      <c r="B49">
        <v>523.86712650000004</v>
      </c>
      <c r="D49">
        <f t="shared" si="0"/>
        <v>8.4159911584999989</v>
      </c>
      <c r="F49">
        <f t="shared" si="1"/>
        <v>-22.060562272357505</v>
      </c>
    </row>
    <row r="50" spans="1:6" x14ac:dyDescent="0.25">
      <c r="A50">
        <v>0.489999354</v>
      </c>
      <c r="B50">
        <v>8917.7470699999994</v>
      </c>
      <c r="D50">
        <f t="shared" si="0"/>
        <v>55.624062140999996</v>
      </c>
      <c r="F50">
        <f t="shared" si="1"/>
        <v>-21.740362005860003</v>
      </c>
    </row>
    <row r="51" spans="1:6" x14ac:dyDescent="0.25">
      <c r="A51">
        <v>0.49999970199999999</v>
      </c>
      <c r="B51">
        <v>-8174.1806640000004</v>
      </c>
      <c r="D51">
        <f t="shared" si="0"/>
        <v>59.341894170999993</v>
      </c>
      <c r="F51">
        <f t="shared" si="1"/>
        <v>-21.165532224300005</v>
      </c>
    </row>
    <row r="52" spans="1:6" x14ac:dyDescent="0.25">
      <c r="A52">
        <v>0.50999957299999998</v>
      </c>
      <c r="B52">
        <v>-37132.714840000001</v>
      </c>
      <c r="D52">
        <f t="shared" si="0"/>
        <v>-167.19258334900002</v>
      </c>
      <c r="F52">
        <f t="shared" si="1"/>
        <v>-21.704785670190006</v>
      </c>
    </row>
    <row r="53" spans="1:6" x14ac:dyDescent="0.25">
      <c r="A53">
        <v>0.51999944399999998</v>
      </c>
      <c r="B53">
        <v>-24618.255860000001</v>
      </c>
      <c r="D53">
        <f t="shared" si="0"/>
        <v>-475.94743684900004</v>
      </c>
      <c r="F53">
        <f t="shared" si="1"/>
        <v>-24.920485771180005</v>
      </c>
    </row>
    <row r="54" spans="1:6" x14ac:dyDescent="0.25">
      <c r="A54">
        <v>0.529999793</v>
      </c>
      <c r="B54">
        <v>23951.722659999999</v>
      </c>
      <c r="D54">
        <f t="shared" si="0"/>
        <v>-479.28010284900006</v>
      </c>
      <c r="F54">
        <f t="shared" si="1"/>
        <v>-29.696623469670005</v>
      </c>
    </row>
    <row r="55" spans="1:6" x14ac:dyDescent="0.25">
      <c r="A55">
        <v>0.53999966399999999</v>
      </c>
      <c r="B55">
        <v>44945.125</v>
      </c>
      <c r="D55">
        <f t="shared" si="0"/>
        <v>-134.79586454900004</v>
      </c>
      <c r="F55">
        <f t="shared" si="1"/>
        <v>-32.767003306660008</v>
      </c>
    </row>
    <row r="56" spans="1:6" x14ac:dyDescent="0.25">
      <c r="A56">
        <v>0.54999953499999998</v>
      </c>
      <c r="B56">
        <v>23925.251950000002</v>
      </c>
      <c r="D56">
        <f t="shared" si="0"/>
        <v>209.55602020099997</v>
      </c>
      <c r="F56">
        <f t="shared" si="1"/>
        <v>-32.39320252840001</v>
      </c>
    </row>
    <row r="57" spans="1:6" x14ac:dyDescent="0.25">
      <c r="A57">
        <v>0.55999940599999998</v>
      </c>
      <c r="B57">
        <v>-2141.5615229999999</v>
      </c>
      <c r="D57">
        <f t="shared" si="0"/>
        <v>318.47447233599996</v>
      </c>
      <c r="F57">
        <f t="shared" si="1"/>
        <v>-29.753050065715012</v>
      </c>
    </row>
    <row r="58" spans="1:6" x14ac:dyDescent="0.25">
      <c r="A58">
        <v>0.56999975400000003</v>
      </c>
      <c r="B58">
        <v>-15755.58106</v>
      </c>
      <c r="D58">
        <f t="shared" si="0"/>
        <v>228.98875942099994</v>
      </c>
      <c r="F58">
        <f t="shared" si="1"/>
        <v>-27.015733906930013</v>
      </c>
    </row>
    <row r="59" spans="1:6" x14ac:dyDescent="0.25">
      <c r="A59">
        <v>0.57999962599999999</v>
      </c>
      <c r="B59">
        <v>-20610.636719999999</v>
      </c>
      <c r="D59">
        <f t="shared" si="0"/>
        <v>47.157670520999943</v>
      </c>
      <c r="F59">
        <f t="shared" si="1"/>
        <v>-25.635001757220014</v>
      </c>
    </row>
    <row r="60" spans="1:6" x14ac:dyDescent="0.25">
      <c r="A60">
        <v>0.58999949699999998</v>
      </c>
      <c r="B60">
        <v>-15957.82422</v>
      </c>
      <c r="D60">
        <f t="shared" si="0"/>
        <v>-135.68463417900006</v>
      </c>
      <c r="F60">
        <f t="shared" si="1"/>
        <v>-26.077636575510013</v>
      </c>
    </row>
    <row r="61" spans="1:6" x14ac:dyDescent="0.25">
      <c r="A61">
        <v>0.59999936799999998</v>
      </c>
      <c r="B61">
        <v>-255.18084719999999</v>
      </c>
      <c r="D61">
        <f t="shared" si="0"/>
        <v>-216.74965951500008</v>
      </c>
      <c r="F61">
        <f t="shared" si="1"/>
        <v>-27.839808043980014</v>
      </c>
    </row>
    <row r="62" spans="1:6" x14ac:dyDescent="0.25">
      <c r="A62">
        <v>0.60999971600000003</v>
      </c>
      <c r="B62">
        <v>17463.933590000001</v>
      </c>
      <c r="D62">
        <f t="shared" si="0"/>
        <v>-130.70589580100008</v>
      </c>
      <c r="F62">
        <f t="shared" si="1"/>
        <v>-29.577085820560015</v>
      </c>
    </row>
    <row r="63" spans="1:6" x14ac:dyDescent="0.25">
      <c r="A63">
        <v>0.61999958799999999</v>
      </c>
      <c r="B63">
        <v>14542.543949999999</v>
      </c>
      <c r="D63">
        <f t="shared" si="0"/>
        <v>29.326491898999933</v>
      </c>
      <c r="F63">
        <f t="shared" si="1"/>
        <v>-30.083982840070014</v>
      </c>
    </row>
    <row r="64" spans="1:6" x14ac:dyDescent="0.25">
      <c r="A64">
        <v>0.62999945899999998</v>
      </c>
      <c r="B64">
        <v>-15614.7207</v>
      </c>
      <c r="D64">
        <f t="shared" si="0"/>
        <v>23.96560814899993</v>
      </c>
      <c r="F64">
        <f t="shared" si="1"/>
        <v>-29.817522339830013</v>
      </c>
    </row>
    <row r="65" spans="1:6" x14ac:dyDescent="0.25">
      <c r="A65">
        <v>0.63999932999999998</v>
      </c>
      <c r="B65">
        <v>-32903.589840000001</v>
      </c>
      <c r="D65">
        <f t="shared" si="0"/>
        <v>-218.62594455100006</v>
      </c>
      <c r="F65">
        <f t="shared" si="1"/>
        <v>-30.790824021840013</v>
      </c>
    </row>
    <row r="66" spans="1:6" x14ac:dyDescent="0.25">
      <c r="A66">
        <v>0.64999967800000003</v>
      </c>
      <c r="B66">
        <v>-5676.9682620000003</v>
      </c>
      <c r="D66">
        <f t="shared" si="0"/>
        <v>-411.52873506100008</v>
      </c>
      <c r="F66">
        <f t="shared" si="1"/>
        <v>-33.941597419900013</v>
      </c>
    </row>
    <row r="67" spans="1:6" x14ac:dyDescent="0.25">
      <c r="A67">
        <v>0.65999954900000002</v>
      </c>
      <c r="B67">
        <v>28163.626950000002</v>
      </c>
      <c r="D67">
        <f t="shared" si="0"/>
        <v>-299.09544162100008</v>
      </c>
      <c r="F67">
        <f t="shared" si="1"/>
        <v>-37.494718303310016</v>
      </c>
    </row>
    <row r="68" spans="1:6" x14ac:dyDescent="0.25">
      <c r="A68">
        <v>0.66999942099999998</v>
      </c>
      <c r="B68">
        <v>24472.318360000001</v>
      </c>
      <c r="D68">
        <f t="shared" si="0"/>
        <v>-35.915715071000079</v>
      </c>
      <c r="F68">
        <f t="shared" si="1"/>
        <v>-39.169774086770019</v>
      </c>
    </row>
    <row r="69" spans="1:6" x14ac:dyDescent="0.25">
      <c r="A69">
        <v>0.67999923200000001</v>
      </c>
      <c r="B69">
        <v>2116.3059079999998</v>
      </c>
      <c r="D69">
        <f t="shared" ref="D69:D132" si="2">((B69+B68)/2)*0.01+D68</f>
        <v>97.027406268999925</v>
      </c>
      <c r="F69">
        <f t="shared" ref="F69:F132" si="3">((D69+D68)/2)*0.01+F68</f>
        <v>-38.864215630780016</v>
      </c>
    </row>
    <row r="70" spans="1:6" x14ac:dyDescent="0.25">
      <c r="A70">
        <v>0.68999964000000003</v>
      </c>
      <c r="B70">
        <v>-7387.0849609999996</v>
      </c>
      <c r="D70">
        <f t="shared" si="2"/>
        <v>70.67351100399992</v>
      </c>
      <c r="F70">
        <f t="shared" si="3"/>
        <v>-38.025711044415019</v>
      </c>
    </row>
    <row r="71" spans="1:6" x14ac:dyDescent="0.25">
      <c r="A71">
        <v>0.69999951100000002</v>
      </c>
      <c r="B71">
        <v>-9883.3837889999995</v>
      </c>
      <c r="D71">
        <f t="shared" si="2"/>
        <v>-15.678832746000083</v>
      </c>
      <c r="F71">
        <f t="shared" si="3"/>
        <v>-37.750737653125022</v>
      </c>
    </row>
    <row r="72" spans="1:6" x14ac:dyDescent="0.25">
      <c r="A72">
        <v>0.70999938299999998</v>
      </c>
      <c r="B72">
        <v>-14127.4707</v>
      </c>
      <c r="D72">
        <f t="shared" si="2"/>
        <v>-135.73310519100008</v>
      </c>
      <c r="F72">
        <f t="shared" si="3"/>
        <v>-38.507797342810022</v>
      </c>
    </row>
    <row r="73" spans="1:6" x14ac:dyDescent="0.25">
      <c r="A73">
        <v>0.71999919400000001</v>
      </c>
      <c r="B73">
        <v>-10264.14258</v>
      </c>
      <c r="D73">
        <f t="shared" si="2"/>
        <v>-257.69117159100006</v>
      </c>
      <c r="F73">
        <f t="shared" si="3"/>
        <v>-40.47491872672002</v>
      </c>
    </row>
    <row r="74" spans="1:6" x14ac:dyDescent="0.25">
      <c r="A74">
        <v>0.72999960200000003</v>
      </c>
      <c r="B74">
        <v>1352.575562</v>
      </c>
      <c r="D74">
        <f t="shared" si="2"/>
        <v>-302.24900668100008</v>
      </c>
      <c r="F74">
        <f t="shared" si="3"/>
        <v>-43.274619618080024</v>
      </c>
    </row>
    <row r="75" spans="1:6" x14ac:dyDescent="0.25">
      <c r="A75">
        <v>0.73999947300000002</v>
      </c>
      <c r="B75">
        <v>6247.4946289999998</v>
      </c>
      <c r="D75">
        <f t="shared" si="2"/>
        <v>-264.2486557260001</v>
      </c>
      <c r="F75">
        <f t="shared" si="3"/>
        <v>-46.107107930115028</v>
      </c>
    </row>
    <row r="76" spans="1:6" x14ac:dyDescent="0.25">
      <c r="A76">
        <v>0.74999928500000002</v>
      </c>
      <c r="B76">
        <v>2288.4077149999998</v>
      </c>
      <c r="D76">
        <f t="shared" si="2"/>
        <v>-221.5691440060001</v>
      </c>
      <c r="F76">
        <f t="shared" si="3"/>
        <v>-48.536196928775027</v>
      </c>
    </row>
    <row r="77" spans="1:6" x14ac:dyDescent="0.25">
      <c r="A77">
        <v>0.75999915600000001</v>
      </c>
      <c r="B77">
        <v>-618.00909420000005</v>
      </c>
      <c r="D77">
        <f t="shared" si="2"/>
        <v>-213.2171509020001</v>
      </c>
      <c r="F77">
        <f t="shared" si="3"/>
        <v>-50.710128403315025</v>
      </c>
    </row>
    <row r="78" spans="1:6" x14ac:dyDescent="0.25">
      <c r="A78">
        <v>0.76999956400000003</v>
      </c>
      <c r="B78">
        <v>511.5487061</v>
      </c>
      <c r="D78">
        <f t="shared" si="2"/>
        <v>-213.74945284250009</v>
      </c>
      <c r="F78">
        <f t="shared" si="3"/>
        <v>-52.844961422037528</v>
      </c>
    </row>
    <row r="79" spans="1:6" x14ac:dyDescent="0.25">
      <c r="A79">
        <v>0.77999937500000005</v>
      </c>
      <c r="B79">
        <v>2492.736328</v>
      </c>
      <c r="D79">
        <f t="shared" si="2"/>
        <v>-198.72802767200008</v>
      </c>
      <c r="F79">
        <f t="shared" si="3"/>
        <v>-54.907348824610025</v>
      </c>
    </row>
    <row r="80" spans="1:6" x14ac:dyDescent="0.25">
      <c r="A80">
        <v>0.78999924700000002</v>
      </c>
      <c r="B80">
        <v>4747.9428710000002</v>
      </c>
      <c r="D80">
        <f t="shared" si="2"/>
        <v>-162.52463167700009</v>
      </c>
      <c r="F80">
        <f t="shared" si="3"/>
        <v>-56.713612121355027</v>
      </c>
    </row>
    <row r="81" spans="1:6" x14ac:dyDescent="0.25">
      <c r="A81">
        <v>0.79999911800000001</v>
      </c>
      <c r="B81">
        <v>5936.4497069999998</v>
      </c>
      <c r="D81">
        <f t="shared" si="2"/>
        <v>-109.10266878700008</v>
      </c>
      <c r="F81">
        <f t="shared" si="3"/>
        <v>-58.071748623675028</v>
      </c>
    </row>
    <row r="82" spans="1:6" x14ac:dyDescent="0.25">
      <c r="A82">
        <v>0.80999952600000003</v>
      </c>
      <c r="B82">
        <v>2530.3327640000002</v>
      </c>
      <c r="D82">
        <f t="shared" si="2"/>
        <v>-66.768756432000089</v>
      </c>
      <c r="F82">
        <f t="shared" si="3"/>
        <v>-58.951105749770029</v>
      </c>
    </row>
    <row r="83" spans="1:6" x14ac:dyDescent="0.25">
      <c r="A83">
        <v>0.81999933700000005</v>
      </c>
      <c r="B83">
        <v>-3562.064453</v>
      </c>
      <c r="D83">
        <f t="shared" si="2"/>
        <v>-71.927414877000089</v>
      </c>
      <c r="F83">
        <f t="shared" si="3"/>
        <v>-59.644586606315031</v>
      </c>
    </row>
    <row r="84" spans="1:6" x14ac:dyDescent="0.25">
      <c r="A84">
        <v>0.82999920800000004</v>
      </c>
      <c r="B84">
        <v>-4853.5478519999997</v>
      </c>
      <c r="D84">
        <f t="shared" si="2"/>
        <v>-114.00547640200008</v>
      </c>
      <c r="F84">
        <f t="shared" si="3"/>
        <v>-60.574251062710033</v>
      </c>
    </row>
    <row r="85" spans="1:6" x14ac:dyDescent="0.25">
      <c r="A85">
        <v>0.83999908000000001</v>
      </c>
      <c r="B85">
        <v>191.19256590000001</v>
      </c>
      <c r="D85">
        <f t="shared" si="2"/>
        <v>-137.31725283250009</v>
      </c>
      <c r="F85">
        <f t="shared" si="3"/>
        <v>-61.830864708882537</v>
      </c>
    </row>
    <row r="86" spans="1:6" x14ac:dyDescent="0.25">
      <c r="A86">
        <v>0.84999942799999995</v>
      </c>
      <c r="B86">
        <v>3424.495606</v>
      </c>
      <c r="D86">
        <f t="shared" si="2"/>
        <v>-119.23881197300008</v>
      </c>
      <c r="F86">
        <f t="shared" si="3"/>
        <v>-63.113645032910036</v>
      </c>
    </row>
    <row r="87" spans="1:6" x14ac:dyDescent="0.25">
      <c r="A87">
        <v>0.85999929900000005</v>
      </c>
      <c r="B87">
        <v>880.13085939999996</v>
      </c>
      <c r="D87">
        <f t="shared" si="2"/>
        <v>-97.715679646000083</v>
      </c>
      <c r="F87">
        <f t="shared" si="3"/>
        <v>-64.198417491005031</v>
      </c>
    </row>
    <row r="88" spans="1:6" x14ac:dyDescent="0.25">
      <c r="A88">
        <v>0.86999917000000004</v>
      </c>
      <c r="B88">
        <v>585.54522710000003</v>
      </c>
      <c r="D88">
        <f t="shared" si="2"/>
        <v>-90.387299213500086</v>
      </c>
      <c r="F88">
        <f t="shared" si="3"/>
        <v>-65.138932385302539</v>
      </c>
    </row>
    <row r="89" spans="1:6" x14ac:dyDescent="0.25">
      <c r="A89">
        <v>0.87999904200000001</v>
      </c>
      <c r="B89">
        <v>7790.4794920000004</v>
      </c>
      <c r="D89">
        <f t="shared" si="2"/>
        <v>-48.507175618000083</v>
      </c>
      <c r="F89">
        <f t="shared" si="3"/>
        <v>-65.833404759460038</v>
      </c>
    </row>
    <row r="90" spans="1:6" x14ac:dyDescent="0.25">
      <c r="A90">
        <v>0.88999938999999995</v>
      </c>
      <c r="B90">
        <v>12997.76367</v>
      </c>
      <c r="D90">
        <f t="shared" si="2"/>
        <v>55.43404019199992</v>
      </c>
      <c r="F90">
        <f t="shared" si="3"/>
        <v>-65.798770436590033</v>
      </c>
    </row>
    <row r="91" spans="1:6" x14ac:dyDescent="0.25">
      <c r="A91">
        <v>0.89999926100000005</v>
      </c>
      <c r="B91">
        <v>6308.2382809999999</v>
      </c>
      <c r="D91">
        <f t="shared" si="2"/>
        <v>151.96404994699992</v>
      </c>
      <c r="F91">
        <f t="shared" si="3"/>
        <v>-64.761779985895032</v>
      </c>
    </row>
    <row r="92" spans="1:6" x14ac:dyDescent="0.25">
      <c r="A92">
        <v>0.90999913200000004</v>
      </c>
      <c r="B92">
        <v>-4078.3161620000001</v>
      </c>
      <c r="D92">
        <f t="shared" si="2"/>
        <v>163.11366054199993</v>
      </c>
      <c r="F92">
        <f t="shared" si="3"/>
        <v>-63.186391433450034</v>
      </c>
    </row>
    <row r="93" spans="1:6" x14ac:dyDescent="0.25">
      <c r="A93">
        <v>0.91999900300000004</v>
      </c>
      <c r="B93">
        <v>-2394.625732</v>
      </c>
      <c r="D93">
        <f t="shared" si="2"/>
        <v>130.74895107199993</v>
      </c>
      <c r="F93">
        <f t="shared" si="3"/>
        <v>-61.717078375380034</v>
      </c>
    </row>
    <row r="94" spans="1:6" x14ac:dyDescent="0.25">
      <c r="A94">
        <v>0.92999935199999995</v>
      </c>
      <c r="B94">
        <v>7050.4765630000002</v>
      </c>
      <c r="D94">
        <f t="shared" si="2"/>
        <v>154.02820522699992</v>
      </c>
      <c r="F94">
        <f t="shared" si="3"/>
        <v>-60.293192593885031</v>
      </c>
    </row>
    <row r="95" spans="1:6" x14ac:dyDescent="0.25">
      <c r="A95">
        <v>0.93999922300000005</v>
      </c>
      <c r="B95">
        <v>3752.5595699999999</v>
      </c>
      <c r="D95">
        <f t="shared" si="2"/>
        <v>208.04338589199992</v>
      </c>
      <c r="F95">
        <f t="shared" si="3"/>
        <v>-58.482834638290029</v>
      </c>
    </row>
    <row r="96" spans="1:6" x14ac:dyDescent="0.25">
      <c r="A96">
        <v>0.94999909400000004</v>
      </c>
      <c r="B96">
        <v>-10467.13574</v>
      </c>
      <c r="D96">
        <f t="shared" si="2"/>
        <v>174.4705050419999</v>
      </c>
      <c r="F96">
        <f t="shared" si="3"/>
        <v>-56.57026518362003</v>
      </c>
    </row>
    <row r="97" spans="1:6" x14ac:dyDescent="0.25">
      <c r="A97">
        <v>0.95999896500000004</v>
      </c>
      <c r="B97">
        <v>-11939.592769999999</v>
      </c>
      <c r="D97">
        <f t="shared" si="2"/>
        <v>62.436862491999889</v>
      </c>
      <c r="F97">
        <f t="shared" si="3"/>
        <v>-55.385728345950028</v>
      </c>
    </row>
    <row r="98" spans="1:6" x14ac:dyDescent="0.25">
      <c r="A98">
        <v>0.96999931299999997</v>
      </c>
      <c r="B98">
        <v>-368.54516599999999</v>
      </c>
      <c r="D98">
        <f t="shared" si="2"/>
        <v>0.89617281199988952</v>
      </c>
      <c r="F98">
        <f t="shared" si="3"/>
        <v>-55.069063169430031</v>
      </c>
    </row>
    <row r="99" spans="1:6" x14ac:dyDescent="0.25">
      <c r="A99">
        <v>0.97999918500000005</v>
      </c>
      <c r="B99">
        <v>4299.2797849999997</v>
      </c>
      <c r="D99">
        <f t="shared" si="2"/>
        <v>20.549845906999888</v>
      </c>
      <c r="F99">
        <f t="shared" si="3"/>
        <v>-54.961833075835031</v>
      </c>
    </row>
    <row r="100" spans="1:6" x14ac:dyDescent="0.25">
      <c r="A100">
        <v>0.98999905600000004</v>
      </c>
      <c r="B100">
        <v>1148.0482179999999</v>
      </c>
      <c r="D100">
        <f t="shared" si="2"/>
        <v>47.786485921999883</v>
      </c>
      <c r="F100">
        <f t="shared" si="3"/>
        <v>-54.620151416690035</v>
      </c>
    </row>
    <row r="101" spans="1:6" x14ac:dyDescent="0.25">
      <c r="A101">
        <v>0.99999892700000004</v>
      </c>
      <c r="B101">
        <v>557.88336179999999</v>
      </c>
      <c r="D101">
        <f t="shared" si="2"/>
        <v>56.316143820999883</v>
      </c>
      <c r="F101">
        <f t="shared" si="3"/>
        <v>-54.099638267975038</v>
      </c>
    </row>
    <row r="102" spans="1:6" x14ac:dyDescent="0.25">
      <c r="A102">
        <v>1.009999275</v>
      </c>
      <c r="B102">
        <v>-190.7862701</v>
      </c>
      <c r="D102">
        <f t="shared" si="2"/>
        <v>58.151629279499886</v>
      </c>
      <c r="F102">
        <f t="shared" si="3"/>
        <v>-53.527299402472536</v>
      </c>
    </row>
    <row r="103" spans="1:6" x14ac:dyDescent="0.25">
      <c r="A103">
        <v>1.0199991470000001</v>
      </c>
      <c r="B103">
        <v>-7085.78125</v>
      </c>
      <c r="D103">
        <f t="shared" si="2"/>
        <v>21.768791678999882</v>
      </c>
      <c r="F103">
        <f t="shared" si="3"/>
        <v>-53.127697297680037</v>
      </c>
    </row>
    <row r="104" spans="1:6" x14ac:dyDescent="0.25">
      <c r="A104">
        <v>1.029999018</v>
      </c>
      <c r="B104">
        <v>-14543.575199999999</v>
      </c>
      <c r="D104">
        <f t="shared" si="2"/>
        <v>-86.377990571000112</v>
      </c>
      <c r="F104">
        <f t="shared" si="3"/>
        <v>-53.450743292140039</v>
      </c>
    </row>
    <row r="105" spans="1:6" x14ac:dyDescent="0.25">
      <c r="A105">
        <v>1.039999366</v>
      </c>
      <c r="B105">
        <v>-13438.787109999999</v>
      </c>
      <c r="D105">
        <f t="shared" si="2"/>
        <v>-226.28980212100009</v>
      </c>
      <c r="F105">
        <f t="shared" si="3"/>
        <v>-55.014082255600037</v>
      </c>
    </row>
    <row r="106" spans="1:6" x14ac:dyDescent="0.25">
      <c r="A106">
        <v>1.049999237</v>
      </c>
      <c r="B106">
        <v>-5958.6069340000004</v>
      </c>
      <c r="D106">
        <f t="shared" si="2"/>
        <v>-323.27677234100008</v>
      </c>
      <c r="F106">
        <f t="shared" si="3"/>
        <v>-57.761915127910036</v>
      </c>
    </row>
    <row r="107" spans="1:6" x14ac:dyDescent="0.25">
      <c r="A107">
        <v>1.059999108</v>
      </c>
      <c r="B107">
        <v>-322.87973019999998</v>
      </c>
      <c r="D107">
        <f t="shared" si="2"/>
        <v>-354.68420566200007</v>
      </c>
      <c r="F107">
        <f t="shared" si="3"/>
        <v>-61.151720017925037</v>
      </c>
    </row>
    <row r="108" spans="1:6" x14ac:dyDescent="0.25">
      <c r="A108">
        <v>1.06999898</v>
      </c>
      <c r="B108">
        <v>3887.5573730000001</v>
      </c>
      <c r="D108">
        <f t="shared" si="2"/>
        <v>-336.86081744800009</v>
      </c>
      <c r="F108">
        <f t="shared" si="3"/>
        <v>-64.609445133475035</v>
      </c>
    </row>
    <row r="109" spans="1:6" x14ac:dyDescent="0.25">
      <c r="A109">
        <v>1.079999328</v>
      </c>
      <c r="B109">
        <v>9139.09375</v>
      </c>
      <c r="D109">
        <f t="shared" si="2"/>
        <v>-271.7275618330001</v>
      </c>
      <c r="F109">
        <f t="shared" si="3"/>
        <v>-67.652387029880032</v>
      </c>
    </row>
    <row r="110" spans="1:6" x14ac:dyDescent="0.25">
      <c r="A110">
        <v>1.089999199</v>
      </c>
      <c r="B110">
        <v>9151.5263670000004</v>
      </c>
      <c r="D110">
        <f t="shared" si="2"/>
        <v>-180.27446124800008</v>
      </c>
      <c r="F110">
        <f t="shared" si="3"/>
        <v>-69.912397145285027</v>
      </c>
    </row>
    <row r="111" spans="1:6" x14ac:dyDescent="0.25">
      <c r="A111">
        <v>1.09999907</v>
      </c>
      <c r="B111">
        <v>-108.0594711</v>
      </c>
      <c r="D111">
        <f t="shared" si="2"/>
        <v>-135.05712676850007</v>
      </c>
      <c r="F111">
        <f t="shared" si="3"/>
        <v>-71.489055085367525</v>
      </c>
    </row>
    <row r="112" spans="1:6" x14ac:dyDescent="0.25">
      <c r="A112">
        <v>1.109998941</v>
      </c>
      <c r="B112">
        <v>-10102.378909999999</v>
      </c>
      <c r="D112">
        <f t="shared" si="2"/>
        <v>-186.10931867400006</v>
      </c>
      <c r="F112">
        <f t="shared" si="3"/>
        <v>-73.094887312580028</v>
      </c>
    </row>
    <row r="113" spans="1:6" x14ac:dyDescent="0.25">
      <c r="A113">
        <v>1.11999929</v>
      </c>
      <c r="B113">
        <v>-11468.797850000001</v>
      </c>
      <c r="D113">
        <f t="shared" si="2"/>
        <v>-293.96520247400008</v>
      </c>
      <c r="F113">
        <f t="shared" si="3"/>
        <v>-75.495259918320031</v>
      </c>
    </row>
    <row r="114" spans="1:6" x14ac:dyDescent="0.25">
      <c r="A114">
        <v>1.129999161</v>
      </c>
      <c r="B114">
        <v>-6165.4462890000004</v>
      </c>
      <c r="D114">
        <f t="shared" si="2"/>
        <v>-382.13642316900007</v>
      </c>
      <c r="F114">
        <f t="shared" si="3"/>
        <v>-78.875768046535029</v>
      </c>
    </row>
    <row r="115" spans="1:6" x14ac:dyDescent="0.25">
      <c r="A115">
        <v>1.139999032</v>
      </c>
      <c r="B115">
        <v>-47.762149809999997</v>
      </c>
      <c r="D115">
        <f t="shared" si="2"/>
        <v>-413.20246536305007</v>
      </c>
      <c r="F115">
        <f t="shared" si="3"/>
        <v>-82.852462489195275</v>
      </c>
    </row>
    <row r="116" spans="1:6" x14ac:dyDescent="0.25">
      <c r="A116">
        <v>1.149998903</v>
      </c>
      <c r="B116">
        <v>4743.0385740000002</v>
      </c>
      <c r="D116">
        <f t="shared" si="2"/>
        <v>-389.72608324210006</v>
      </c>
      <c r="F116">
        <f t="shared" si="3"/>
        <v>-86.867105232221022</v>
      </c>
    </row>
    <row r="117" spans="1:6" x14ac:dyDescent="0.25">
      <c r="A117">
        <v>1.1599992509999999</v>
      </c>
      <c r="B117">
        <v>5346.8759769999997</v>
      </c>
      <c r="D117">
        <f t="shared" si="2"/>
        <v>-339.27651048710004</v>
      </c>
      <c r="F117">
        <f t="shared" si="3"/>
        <v>-90.512118200867022</v>
      </c>
    </row>
    <row r="118" spans="1:6" x14ac:dyDescent="0.25">
      <c r="A118">
        <v>1.169999123</v>
      </c>
      <c r="B118">
        <v>-130.6459045</v>
      </c>
      <c r="D118">
        <f t="shared" si="2"/>
        <v>-313.19536012460003</v>
      </c>
      <c r="F118">
        <f t="shared" si="3"/>
        <v>-93.774477553925522</v>
      </c>
    </row>
    <row r="119" spans="1:6" x14ac:dyDescent="0.25">
      <c r="A119">
        <v>1.179998994</v>
      </c>
      <c r="B119">
        <v>-5818.251953</v>
      </c>
      <c r="D119">
        <f t="shared" si="2"/>
        <v>-342.93984941210005</v>
      </c>
      <c r="F119">
        <f t="shared" si="3"/>
        <v>-97.055153601609021</v>
      </c>
    </row>
    <row r="120" spans="1:6" x14ac:dyDescent="0.25">
      <c r="A120">
        <v>1.189998865</v>
      </c>
      <c r="B120">
        <v>-4278.0258789999998</v>
      </c>
      <c r="D120">
        <f t="shared" si="2"/>
        <v>-393.42123857210004</v>
      </c>
      <c r="F120">
        <f t="shared" si="3"/>
        <v>-100.73695904153003</v>
      </c>
    </row>
    <row r="121" spans="1:6" x14ac:dyDescent="0.25">
      <c r="A121">
        <v>1.1999992129999999</v>
      </c>
      <c r="B121">
        <v>1911.3115230000001</v>
      </c>
      <c r="D121">
        <f t="shared" si="2"/>
        <v>-405.25481035210004</v>
      </c>
      <c r="F121">
        <f t="shared" si="3"/>
        <v>-104.73033928615104</v>
      </c>
    </row>
    <row r="122" spans="1:6" x14ac:dyDescent="0.25">
      <c r="A122">
        <v>1.209999085</v>
      </c>
      <c r="B122">
        <v>3974.8691410000001</v>
      </c>
      <c r="D122">
        <f t="shared" si="2"/>
        <v>-375.82390703210001</v>
      </c>
      <c r="F122">
        <f t="shared" si="3"/>
        <v>-108.63573287307203</v>
      </c>
    </row>
    <row r="123" spans="1:6" x14ac:dyDescent="0.25">
      <c r="A123">
        <v>1.219998956</v>
      </c>
      <c r="B123">
        <v>1203.8743899999999</v>
      </c>
      <c r="D123">
        <f t="shared" si="2"/>
        <v>-349.93018937710002</v>
      </c>
      <c r="F123">
        <f t="shared" si="3"/>
        <v>-112.26450335511802</v>
      </c>
    </row>
    <row r="124" spans="1:6" x14ac:dyDescent="0.25">
      <c r="A124">
        <v>1.229998827</v>
      </c>
      <c r="B124">
        <v>231.37239080000001</v>
      </c>
      <c r="D124">
        <f t="shared" si="2"/>
        <v>-342.75395547310001</v>
      </c>
      <c r="F124">
        <f t="shared" si="3"/>
        <v>-115.72792407936902</v>
      </c>
    </row>
    <row r="125" spans="1:6" x14ac:dyDescent="0.25">
      <c r="A125">
        <v>1.2399991749999999</v>
      </c>
      <c r="B125">
        <v>1618.299561</v>
      </c>
      <c r="D125">
        <f t="shared" si="2"/>
        <v>-333.50559571410002</v>
      </c>
      <c r="F125">
        <f t="shared" si="3"/>
        <v>-119.10922183530502</v>
      </c>
    </row>
    <row r="126" spans="1:6" x14ac:dyDescent="0.25">
      <c r="A126">
        <v>1.2499990459999999</v>
      </c>
      <c r="B126">
        <v>697.65869139999995</v>
      </c>
      <c r="D126">
        <f t="shared" si="2"/>
        <v>-321.92580445210001</v>
      </c>
      <c r="F126">
        <f t="shared" si="3"/>
        <v>-122.38637883613602</v>
      </c>
    </row>
    <row r="127" spans="1:6" x14ac:dyDescent="0.25">
      <c r="A127">
        <v>1.259998918</v>
      </c>
      <c r="B127">
        <v>-2289.9736330000001</v>
      </c>
      <c r="D127">
        <f t="shared" si="2"/>
        <v>-329.88737916010001</v>
      </c>
      <c r="F127">
        <f t="shared" si="3"/>
        <v>-125.64544475419702</v>
      </c>
    </row>
    <row r="128" spans="1:6" x14ac:dyDescent="0.25">
      <c r="A128">
        <v>1.269998789</v>
      </c>
      <c r="B128">
        <v>-3761.4692380000001</v>
      </c>
      <c r="D128">
        <f t="shared" si="2"/>
        <v>-360.14459351510004</v>
      </c>
      <c r="F128">
        <f t="shared" si="3"/>
        <v>-129.095604617573</v>
      </c>
    </row>
    <row r="129" spans="1:6" x14ac:dyDescent="0.25">
      <c r="A129">
        <v>1.2799991369999999</v>
      </c>
      <c r="B129">
        <v>-1743.1904300000001</v>
      </c>
      <c r="D129">
        <f t="shared" si="2"/>
        <v>-387.66789185510004</v>
      </c>
      <c r="F129">
        <f t="shared" si="3"/>
        <v>-132.83466704442401</v>
      </c>
    </row>
    <row r="130" spans="1:6" x14ac:dyDescent="0.25">
      <c r="A130">
        <v>1.2899990079999999</v>
      </c>
      <c r="B130">
        <v>3194.4311520000001</v>
      </c>
      <c r="D130">
        <f t="shared" si="2"/>
        <v>-380.41168824510004</v>
      </c>
      <c r="F130">
        <f t="shared" si="3"/>
        <v>-136.675064944925</v>
      </c>
    </row>
    <row r="131" spans="1:6" x14ac:dyDescent="0.25">
      <c r="A131">
        <v>1.2999988790000001</v>
      </c>
      <c r="B131">
        <v>6850.1342770000001</v>
      </c>
      <c r="D131">
        <f t="shared" si="2"/>
        <v>-330.18886110010004</v>
      </c>
      <c r="F131">
        <f t="shared" si="3"/>
        <v>-140.22806769165101</v>
      </c>
    </row>
    <row r="132" spans="1:6" x14ac:dyDescent="0.25">
      <c r="A132">
        <v>1.309998751</v>
      </c>
      <c r="B132">
        <v>6439.3212890000004</v>
      </c>
      <c r="D132">
        <f t="shared" si="2"/>
        <v>-263.74158327010002</v>
      </c>
      <c r="F132">
        <f t="shared" si="3"/>
        <v>-143.197719913502</v>
      </c>
    </row>
    <row r="133" spans="1:6" x14ac:dyDescent="0.25">
      <c r="A133">
        <v>1.3199990989999999</v>
      </c>
      <c r="B133">
        <v>4384.5273440000001</v>
      </c>
      <c r="D133">
        <f t="shared" ref="D133" si="4">((B133+B132)/2)*0.01+D132</f>
        <v>-209.62234010510002</v>
      </c>
      <c r="F133">
        <f t="shared" ref="F133" si="5">((D133+D132)/2)*0.01+F132</f>
        <v>-145.564539530378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FFFF00"/>
  </sheetPr>
  <dimension ref="A1:M133"/>
  <sheetViews>
    <sheetView zoomScale="88" zoomScaleNormal="93" workbookViewId="0">
      <selection activeCell="O34" sqref="O34"/>
    </sheetView>
  </sheetViews>
  <sheetFormatPr defaultRowHeight="15" x14ac:dyDescent="0.25"/>
  <cols>
    <col min="5" max="5" width="14.140625" customWidth="1"/>
    <col min="8" max="8" width="16.7109375" customWidth="1"/>
    <col min="10" max="10" width="15.85546875" customWidth="1"/>
  </cols>
  <sheetData>
    <row r="1" spans="1:13" x14ac:dyDescent="0.25">
      <c r="A1" t="s">
        <v>5</v>
      </c>
      <c r="B1" s="1" t="s">
        <v>14</v>
      </c>
      <c r="C1" s="1" t="s">
        <v>13</v>
      </c>
      <c r="E1" s="2" t="s">
        <v>8</v>
      </c>
      <c r="F1" s="3">
        <v>67</v>
      </c>
      <c r="G1" s="4"/>
      <c r="H1" s="5" t="s">
        <v>9</v>
      </c>
      <c r="I1" s="4">
        <f>-$F$1/3.6*1000*SIN(RADIANS($F$2))</f>
        <v>-6365.3748896721672</v>
      </c>
      <c r="J1" s="5" t="s">
        <v>9</v>
      </c>
      <c r="K1" s="6">
        <f>$F$1/3.6*1000*COS(RADIANS($F$2))</f>
        <v>17488.723775737737</v>
      </c>
    </row>
    <row r="2" spans="1:13" ht="15.75" thickBot="1" x14ac:dyDescent="0.3">
      <c r="A2" s="1" t="s">
        <v>3</v>
      </c>
      <c r="B2" s="1" t="s">
        <v>7</v>
      </c>
      <c r="C2" s="1" t="s">
        <v>7</v>
      </c>
      <c r="E2" s="7" t="s">
        <v>10</v>
      </c>
      <c r="F2" s="8">
        <v>20</v>
      </c>
      <c r="G2" s="9"/>
      <c r="H2" s="9"/>
      <c r="I2" s="9"/>
      <c r="J2" s="9"/>
      <c r="K2" s="10"/>
    </row>
    <row r="3" spans="1:13" x14ac:dyDescent="0.25">
      <c r="H3" s="13" t="s">
        <v>12</v>
      </c>
      <c r="I3" s="13" t="s">
        <v>11</v>
      </c>
      <c r="J3" s="13" t="s">
        <v>12</v>
      </c>
      <c r="K3" s="13"/>
      <c r="L3" s="11"/>
      <c r="M3" s="12"/>
    </row>
    <row r="4" spans="1:13" x14ac:dyDescent="0.25">
      <c r="A4">
        <v>2.999959E-2</v>
      </c>
      <c r="B4">
        <v>0.15983554687500001</v>
      </c>
      <c r="C4">
        <v>-0.25528791500000003</v>
      </c>
      <c r="E4">
        <f>E3+$I$1*0.01</f>
        <v>-63.653748896721673</v>
      </c>
      <c r="F4">
        <f>F3+$K$1*0.01</f>
        <v>174.88723775737736</v>
      </c>
      <c r="H4" s="12">
        <f>B4+E4</f>
        <v>-63.493913349846672</v>
      </c>
      <c r="I4" s="12">
        <f>C4+F4</f>
        <v>174.63194984237737</v>
      </c>
      <c r="J4" s="12">
        <f>H4</f>
        <v>-63.493913349846672</v>
      </c>
    </row>
    <row r="5" spans="1:13" x14ac:dyDescent="0.25">
      <c r="A5">
        <v>3.9999958000000002E-2</v>
      </c>
      <c r="B5">
        <v>0.7121603820750001</v>
      </c>
      <c r="C5">
        <v>-1.1815712400750003</v>
      </c>
      <c r="E5">
        <f t="shared" ref="E5:E68" si="0">E4+$I$1*0.01</f>
        <v>-127.30749779344335</v>
      </c>
      <c r="F5">
        <f t="shared" ref="F5:F68" si="1">F4+$K$1*0.01</f>
        <v>349.77447551475473</v>
      </c>
      <c r="H5" s="12">
        <f t="shared" ref="H5:H68" si="2">B5+E5</f>
        <v>-126.59533741136835</v>
      </c>
      <c r="I5" s="12">
        <f t="shared" ref="I5:I68" si="3">C5+F5</f>
        <v>348.59290427467971</v>
      </c>
      <c r="J5" s="12">
        <f t="shared" ref="J5:J68" si="4">H5</f>
        <v>-126.59533741136835</v>
      </c>
    </row>
    <row r="6" spans="1:13" x14ac:dyDescent="0.25">
      <c r="A6">
        <v>4.9999818000000001E-2</v>
      </c>
      <c r="B6">
        <v>1.5565098861500002</v>
      </c>
      <c r="C6">
        <v>-2.7000534969900007</v>
      </c>
      <c r="E6">
        <f t="shared" si="0"/>
        <v>-190.96124669016501</v>
      </c>
      <c r="F6">
        <f t="shared" si="1"/>
        <v>524.66171327213215</v>
      </c>
      <c r="H6" s="12">
        <f t="shared" si="2"/>
        <v>-189.40473680401502</v>
      </c>
      <c r="I6" s="12">
        <f t="shared" si="3"/>
        <v>521.96165977514215</v>
      </c>
      <c r="J6" s="12">
        <f t="shared" si="4"/>
        <v>-189.40473680401502</v>
      </c>
    </row>
    <row r="7" spans="1:13" x14ac:dyDescent="0.25">
      <c r="A7">
        <v>5.9999681999999999E-2</v>
      </c>
      <c r="B7">
        <v>2.5043080322</v>
      </c>
      <c r="C7">
        <v>-4.459326217160001</v>
      </c>
      <c r="E7">
        <f t="shared" si="0"/>
        <v>-254.61499558688669</v>
      </c>
      <c r="F7">
        <f t="shared" si="1"/>
        <v>699.54895102950945</v>
      </c>
      <c r="H7" s="12">
        <f t="shared" si="2"/>
        <v>-252.11068755468671</v>
      </c>
      <c r="I7" s="12">
        <f t="shared" si="3"/>
        <v>695.08962481234948</v>
      </c>
      <c r="J7" s="12">
        <f t="shared" si="4"/>
        <v>-252.11068755468671</v>
      </c>
    </row>
    <row r="8" spans="1:13" x14ac:dyDescent="0.25">
      <c r="A8">
        <v>6.9999545999999996E-2</v>
      </c>
      <c r="B8">
        <v>3.6923220092750002</v>
      </c>
      <c r="C8">
        <v>-6.4147828789950019</v>
      </c>
      <c r="E8">
        <f t="shared" si="0"/>
        <v>-318.26874448360837</v>
      </c>
      <c r="F8">
        <f t="shared" si="1"/>
        <v>874.43618878688676</v>
      </c>
      <c r="H8" s="12">
        <f t="shared" si="2"/>
        <v>-314.57642247433336</v>
      </c>
      <c r="I8" s="12">
        <f t="shared" si="3"/>
        <v>868.02140590789179</v>
      </c>
      <c r="J8" s="12">
        <f t="shared" si="4"/>
        <v>-314.57642247433336</v>
      </c>
    </row>
    <row r="9" spans="1:13" x14ac:dyDescent="0.25">
      <c r="A9">
        <v>7.9999916000000004E-2</v>
      </c>
      <c r="B9">
        <v>5.336848748825</v>
      </c>
      <c r="C9">
        <v>-8.6603502983050014</v>
      </c>
      <c r="E9">
        <f t="shared" si="0"/>
        <v>-381.92249338033002</v>
      </c>
      <c r="F9">
        <f t="shared" si="1"/>
        <v>1049.3234265442641</v>
      </c>
      <c r="H9" s="12">
        <f t="shared" si="2"/>
        <v>-376.58564463150503</v>
      </c>
      <c r="I9" s="12">
        <f t="shared" si="3"/>
        <v>1040.663076245959</v>
      </c>
      <c r="J9" s="12">
        <f t="shared" si="4"/>
        <v>-376.58564463150503</v>
      </c>
    </row>
    <row r="10" spans="1:13" x14ac:dyDescent="0.25">
      <c r="A10">
        <v>8.9999773000000005E-2</v>
      </c>
      <c r="B10">
        <v>7.4320223267500003</v>
      </c>
      <c r="C10">
        <v>-11.154663403972503</v>
      </c>
      <c r="E10">
        <f t="shared" si="0"/>
        <v>-445.57624227705168</v>
      </c>
      <c r="F10">
        <f t="shared" si="1"/>
        <v>1224.2106643016414</v>
      </c>
      <c r="H10" s="12">
        <f t="shared" si="2"/>
        <v>-438.1442199503017</v>
      </c>
      <c r="I10" s="12">
        <f t="shared" si="3"/>
        <v>1213.0560008976688</v>
      </c>
      <c r="J10" s="12">
        <f t="shared" si="4"/>
        <v>-438.1442199503017</v>
      </c>
    </row>
    <row r="11" spans="1:13" x14ac:dyDescent="0.25">
      <c r="A11">
        <v>9.9999636000000003E-2</v>
      </c>
      <c r="B11">
        <v>9.8608269166250011</v>
      </c>
      <c r="C11">
        <v>-13.759677995850003</v>
      </c>
      <c r="E11">
        <f t="shared" si="0"/>
        <v>-509.22999117377333</v>
      </c>
      <c r="F11">
        <f t="shared" si="1"/>
        <v>1399.0979020590187</v>
      </c>
      <c r="H11" s="12">
        <f t="shared" si="2"/>
        <v>-499.36916425714833</v>
      </c>
      <c r="I11" s="12">
        <f t="shared" si="3"/>
        <v>1385.3382240631686</v>
      </c>
      <c r="J11" s="12">
        <f t="shared" si="4"/>
        <v>-499.36916425714833</v>
      </c>
    </row>
    <row r="12" spans="1:13" x14ac:dyDescent="0.25">
      <c r="A12">
        <v>0.1099995</v>
      </c>
      <c r="B12">
        <v>12.639390869275001</v>
      </c>
      <c r="C12">
        <v>-16.493855125875005</v>
      </c>
      <c r="E12">
        <f t="shared" si="0"/>
        <v>-572.88374007049504</v>
      </c>
      <c r="F12">
        <f t="shared" si="1"/>
        <v>1573.985139816396</v>
      </c>
      <c r="H12" s="12">
        <f t="shared" si="2"/>
        <v>-560.24434920122007</v>
      </c>
      <c r="I12" s="12">
        <f t="shared" si="3"/>
        <v>1557.4912846905211</v>
      </c>
      <c r="J12" s="12">
        <f t="shared" si="4"/>
        <v>-560.24434920122007</v>
      </c>
    </row>
    <row r="13" spans="1:13" x14ac:dyDescent="0.25">
      <c r="A13">
        <v>0.11999987099999999</v>
      </c>
      <c r="B13">
        <v>15.961717340225</v>
      </c>
      <c r="C13">
        <v>-19.620350664095007</v>
      </c>
      <c r="E13">
        <f t="shared" si="0"/>
        <v>-636.53748896721675</v>
      </c>
      <c r="F13">
        <f t="shared" si="1"/>
        <v>1748.8723775737733</v>
      </c>
      <c r="H13" s="12">
        <f t="shared" si="2"/>
        <v>-620.5757716269917</v>
      </c>
      <c r="I13" s="12">
        <f t="shared" si="3"/>
        <v>1729.2520269096783</v>
      </c>
      <c r="J13" s="12">
        <f t="shared" si="4"/>
        <v>-620.5757716269917</v>
      </c>
    </row>
    <row r="14" spans="1:13" x14ac:dyDescent="0.25">
      <c r="A14">
        <v>0.12999972700000001</v>
      </c>
      <c r="B14">
        <v>20.143224316600001</v>
      </c>
      <c r="C14">
        <v>-23.368090196440008</v>
      </c>
      <c r="E14">
        <f t="shared" si="0"/>
        <v>-700.19123786393845</v>
      </c>
      <c r="F14">
        <f t="shared" si="1"/>
        <v>1923.7596153311506</v>
      </c>
      <c r="H14" s="12">
        <f t="shared" si="2"/>
        <v>-680.04801354733843</v>
      </c>
      <c r="I14" s="12">
        <f t="shared" si="3"/>
        <v>1900.3915251347105</v>
      </c>
      <c r="J14" s="12">
        <f t="shared" si="4"/>
        <v>-680.04801354733843</v>
      </c>
    </row>
    <row r="15" spans="1:13" x14ac:dyDescent="0.25">
      <c r="A15">
        <v>0.139999598</v>
      </c>
      <c r="B15">
        <v>25.58824960355</v>
      </c>
      <c r="C15">
        <v>-27.773489653085008</v>
      </c>
      <c r="E15">
        <f t="shared" si="0"/>
        <v>-763.84498676066016</v>
      </c>
      <c r="F15">
        <f t="shared" si="1"/>
        <v>2098.6468530885281</v>
      </c>
      <c r="H15" s="12">
        <f t="shared" si="2"/>
        <v>-738.25673715711014</v>
      </c>
      <c r="I15" s="12">
        <f t="shared" si="3"/>
        <v>2070.873363435443</v>
      </c>
      <c r="J15" s="12">
        <f t="shared" si="4"/>
        <v>-738.25673715711014</v>
      </c>
    </row>
    <row r="16" spans="1:13" x14ac:dyDescent="0.25">
      <c r="A16">
        <v>0.14999996099999999</v>
      </c>
      <c r="B16">
        <v>32.606583239999999</v>
      </c>
      <c r="C16">
        <v>-32.866819578480012</v>
      </c>
      <c r="E16">
        <f t="shared" si="0"/>
        <v>-827.49873565738187</v>
      </c>
      <c r="F16">
        <f t="shared" si="1"/>
        <v>2273.5340908459057</v>
      </c>
      <c r="H16" s="12">
        <f t="shared" si="2"/>
        <v>-794.89215241738191</v>
      </c>
      <c r="I16" s="12">
        <f t="shared" si="3"/>
        <v>2240.6672712674258</v>
      </c>
      <c r="J16" s="12">
        <f t="shared" si="4"/>
        <v>-794.89215241738191</v>
      </c>
    </row>
    <row r="17" spans="1:10" x14ac:dyDescent="0.25">
      <c r="A17">
        <v>0.15999983300000001</v>
      </c>
      <c r="B17">
        <v>41.071544635125001</v>
      </c>
      <c r="C17">
        <v>-38.793878190450016</v>
      </c>
      <c r="E17">
        <f t="shared" si="0"/>
        <v>-891.15248455410358</v>
      </c>
      <c r="F17">
        <f t="shared" si="1"/>
        <v>2448.4213286032832</v>
      </c>
      <c r="H17" s="12">
        <f t="shared" si="2"/>
        <v>-850.08093991897863</v>
      </c>
      <c r="I17" s="12">
        <f t="shared" si="3"/>
        <v>2409.6274504128332</v>
      </c>
      <c r="J17" s="12">
        <f t="shared" si="4"/>
        <v>-850.08093991897863</v>
      </c>
    </row>
    <row r="18" spans="1:10" x14ac:dyDescent="0.25">
      <c r="A18">
        <v>0.16999968900000001</v>
      </c>
      <c r="B18">
        <v>50.351161794225</v>
      </c>
      <c r="C18">
        <v>-45.736987632620014</v>
      </c>
      <c r="E18">
        <f t="shared" si="0"/>
        <v>-954.80623345082529</v>
      </c>
      <c r="F18">
        <f t="shared" si="1"/>
        <v>2623.3085663606607</v>
      </c>
      <c r="H18" s="12">
        <f t="shared" si="2"/>
        <v>-904.45507165660024</v>
      </c>
      <c r="I18" s="12">
        <f t="shared" si="3"/>
        <v>2577.5715787280405</v>
      </c>
      <c r="J18" s="12">
        <f t="shared" si="4"/>
        <v>-904.45507165660024</v>
      </c>
    </row>
    <row r="19" spans="1:10" x14ac:dyDescent="0.25">
      <c r="A19">
        <v>0.17999954500000001</v>
      </c>
      <c r="B19">
        <v>59.7852221769</v>
      </c>
      <c r="C19">
        <v>-53.733960429415013</v>
      </c>
      <c r="E19">
        <f t="shared" si="0"/>
        <v>-1018.459982347547</v>
      </c>
      <c r="F19">
        <f t="shared" si="1"/>
        <v>2798.1958041180383</v>
      </c>
      <c r="H19" s="12">
        <f t="shared" si="2"/>
        <v>-958.674760170647</v>
      </c>
      <c r="I19" s="12">
        <f t="shared" si="3"/>
        <v>2744.461843688623</v>
      </c>
      <c r="J19" s="12">
        <f t="shared" si="4"/>
        <v>-958.674760170647</v>
      </c>
    </row>
    <row r="20" spans="1:10" x14ac:dyDescent="0.25">
      <c r="A20">
        <v>0.18999992299999999</v>
      </c>
      <c r="B20">
        <v>69.292156487650004</v>
      </c>
      <c r="C20">
        <v>-62.416574421960014</v>
      </c>
      <c r="E20">
        <f t="shared" si="0"/>
        <v>-1082.1137312442686</v>
      </c>
      <c r="F20">
        <f t="shared" si="1"/>
        <v>2973.0830418754158</v>
      </c>
      <c r="H20" s="12">
        <f t="shared" si="2"/>
        <v>-1012.8215747566186</v>
      </c>
      <c r="I20" s="12">
        <f t="shared" si="3"/>
        <v>2910.6664674534559</v>
      </c>
      <c r="J20" s="12">
        <f t="shared" si="4"/>
        <v>-1012.8215747566186</v>
      </c>
    </row>
    <row r="21" spans="1:10" x14ac:dyDescent="0.25">
      <c r="A21">
        <v>0.19999977899999999</v>
      </c>
      <c r="B21">
        <v>79.433162752850009</v>
      </c>
      <c r="C21">
        <v>-71.054363725805018</v>
      </c>
      <c r="E21">
        <f t="shared" si="0"/>
        <v>-1145.7674801409903</v>
      </c>
      <c r="F21">
        <f t="shared" si="1"/>
        <v>3147.9702796327933</v>
      </c>
      <c r="H21" s="12">
        <f t="shared" si="2"/>
        <v>-1066.3343173881403</v>
      </c>
      <c r="I21" s="12">
        <f t="shared" si="3"/>
        <v>3076.9159159069882</v>
      </c>
      <c r="J21" s="12">
        <f t="shared" si="4"/>
        <v>-1066.3343173881403</v>
      </c>
    </row>
    <row r="22" spans="1:10" x14ac:dyDescent="0.25">
      <c r="A22">
        <v>0.20999965100000001</v>
      </c>
      <c r="B22">
        <v>90.871637682950009</v>
      </c>
      <c r="C22">
        <v>-79.180747289300015</v>
      </c>
      <c r="E22">
        <f t="shared" si="0"/>
        <v>-1209.421229037712</v>
      </c>
      <c r="F22">
        <f t="shared" si="1"/>
        <v>3322.8575173901709</v>
      </c>
      <c r="H22" s="12">
        <f t="shared" si="2"/>
        <v>-1118.549591354762</v>
      </c>
      <c r="I22" s="12">
        <f t="shared" si="3"/>
        <v>3243.6767701008707</v>
      </c>
      <c r="J22" s="12">
        <f t="shared" si="4"/>
        <v>-1118.549591354762</v>
      </c>
    </row>
    <row r="23" spans="1:10" x14ac:dyDescent="0.25">
      <c r="A23">
        <v>0.22000001399999999</v>
      </c>
      <c r="B23">
        <v>103.88025460555001</v>
      </c>
      <c r="C23">
        <v>-87.147431292270014</v>
      </c>
      <c r="E23">
        <f t="shared" si="0"/>
        <v>-1273.0749779344337</v>
      </c>
      <c r="F23">
        <f t="shared" si="1"/>
        <v>3497.7447551475484</v>
      </c>
      <c r="H23" s="12">
        <f t="shared" si="2"/>
        <v>-1169.1947233288838</v>
      </c>
      <c r="I23" s="12">
        <f t="shared" si="3"/>
        <v>3410.5973238552783</v>
      </c>
      <c r="J23" s="12">
        <f t="shared" si="4"/>
        <v>-1169.1947233288838</v>
      </c>
    </row>
    <row r="24" spans="1:10" x14ac:dyDescent="0.25">
      <c r="A24">
        <v>0.22999987</v>
      </c>
      <c r="B24">
        <v>118.40305409665001</v>
      </c>
      <c r="C24">
        <v>-95.89254575194002</v>
      </c>
      <c r="E24">
        <f t="shared" si="0"/>
        <v>-1336.7287268311554</v>
      </c>
      <c r="F24">
        <f t="shared" si="1"/>
        <v>3672.6319929049259</v>
      </c>
      <c r="H24" s="12">
        <f t="shared" si="2"/>
        <v>-1218.3256727345054</v>
      </c>
      <c r="I24" s="12">
        <f t="shared" si="3"/>
        <v>3576.739447152986</v>
      </c>
      <c r="J24" s="12">
        <f t="shared" si="4"/>
        <v>-1218.3256727345054</v>
      </c>
    </row>
    <row r="25" spans="1:10" x14ac:dyDescent="0.25">
      <c r="A25">
        <v>0.23999974099999999</v>
      </c>
      <c r="B25">
        <v>134.40444301675001</v>
      </c>
      <c r="C25">
        <v>-106.20744741881002</v>
      </c>
      <c r="E25">
        <f t="shared" si="0"/>
        <v>-1400.3824757278771</v>
      </c>
      <c r="F25">
        <f t="shared" si="1"/>
        <v>3847.5192306623035</v>
      </c>
      <c r="H25" s="12">
        <f t="shared" si="2"/>
        <v>-1265.9780327111271</v>
      </c>
      <c r="I25" s="12">
        <f t="shared" si="3"/>
        <v>3741.3117832434937</v>
      </c>
      <c r="J25" s="12">
        <f t="shared" si="4"/>
        <v>-1265.9780327111271</v>
      </c>
    </row>
    <row r="26" spans="1:10" x14ac:dyDescent="0.25">
      <c r="A26">
        <v>0.24999959799999999</v>
      </c>
      <c r="B26">
        <v>151.93815063835001</v>
      </c>
      <c r="C26">
        <v>-118.21658973493001</v>
      </c>
      <c r="E26">
        <f t="shared" si="0"/>
        <v>-1464.0362246245988</v>
      </c>
      <c r="F26">
        <f t="shared" si="1"/>
        <v>4022.406468419681</v>
      </c>
      <c r="H26" s="12">
        <f t="shared" si="2"/>
        <v>-1312.0980739862489</v>
      </c>
      <c r="I26" s="12">
        <f t="shared" si="3"/>
        <v>3904.189878684751</v>
      </c>
      <c r="J26" s="12">
        <f t="shared" si="4"/>
        <v>-1312.0980739862489</v>
      </c>
    </row>
    <row r="27" spans="1:10" x14ac:dyDescent="0.25">
      <c r="A27">
        <v>0.259999961</v>
      </c>
      <c r="B27">
        <v>170.89836211745001</v>
      </c>
      <c r="C27">
        <v>-131.41123662230001</v>
      </c>
      <c r="E27">
        <f t="shared" si="0"/>
        <v>-1527.6899735213206</v>
      </c>
      <c r="F27">
        <f t="shared" si="1"/>
        <v>4197.2937061770581</v>
      </c>
      <c r="H27" s="12">
        <f t="shared" si="2"/>
        <v>-1356.7916114038705</v>
      </c>
      <c r="I27" s="12">
        <f t="shared" si="3"/>
        <v>4065.8824695547582</v>
      </c>
      <c r="J27" s="12">
        <f t="shared" si="4"/>
        <v>-1356.7916114038705</v>
      </c>
    </row>
    <row r="28" spans="1:10" x14ac:dyDescent="0.25">
      <c r="A28">
        <v>0.269999832</v>
      </c>
      <c r="B28">
        <v>190.89956348905002</v>
      </c>
      <c r="C28">
        <v>-145.11007944732501</v>
      </c>
      <c r="E28">
        <f t="shared" si="0"/>
        <v>-1591.3437224180423</v>
      </c>
      <c r="F28">
        <f t="shared" si="1"/>
        <v>4372.1809439344352</v>
      </c>
      <c r="H28" s="12">
        <f t="shared" si="2"/>
        <v>-1400.4441589289922</v>
      </c>
      <c r="I28" s="12">
        <f t="shared" si="3"/>
        <v>4227.0708644871102</v>
      </c>
      <c r="J28" s="12">
        <f t="shared" si="4"/>
        <v>-1400.4441589289922</v>
      </c>
    </row>
    <row r="29" spans="1:10" x14ac:dyDescent="0.25">
      <c r="A29">
        <v>0.27999970299999999</v>
      </c>
      <c r="B29">
        <v>211.51698573462502</v>
      </c>
      <c r="C29">
        <v>-158.84558129871002</v>
      </c>
      <c r="E29">
        <f t="shared" si="0"/>
        <v>-1654.997471314764</v>
      </c>
      <c r="F29">
        <f t="shared" si="1"/>
        <v>4547.0681816918122</v>
      </c>
      <c r="H29" s="12">
        <f t="shared" si="2"/>
        <v>-1443.480485580139</v>
      </c>
      <c r="I29" s="12">
        <f t="shared" si="3"/>
        <v>4388.2226003931019</v>
      </c>
      <c r="J29" s="12">
        <f t="shared" si="4"/>
        <v>-1443.480485580139</v>
      </c>
    </row>
    <row r="30" spans="1:10" x14ac:dyDescent="0.25">
      <c r="A30">
        <v>0.28999954500000003</v>
      </c>
      <c r="B30">
        <v>232.65420783372502</v>
      </c>
      <c r="C30">
        <v>-172.39090311127501</v>
      </c>
      <c r="E30">
        <f t="shared" si="0"/>
        <v>-1718.6512202114857</v>
      </c>
      <c r="F30">
        <f t="shared" si="1"/>
        <v>4721.9554194491893</v>
      </c>
      <c r="H30" s="12">
        <f t="shared" si="2"/>
        <v>-1485.9970123777607</v>
      </c>
      <c r="I30" s="12">
        <f t="shared" si="3"/>
        <v>4549.564516337914</v>
      </c>
      <c r="J30" s="12">
        <f t="shared" si="4"/>
        <v>-1485.9970123777607</v>
      </c>
    </row>
    <row r="31" spans="1:10" x14ac:dyDescent="0.25">
      <c r="A31">
        <v>0.299999923</v>
      </c>
      <c r="B31">
        <v>254.63643125120004</v>
      </c>
      <c r="C31">
        <v>-185.78555827956501</v>
      </c>
      <c r="E31">
        <f t="shared" si="0"/>
        <v>-1782.3049691082074</v>
      </c>
      <c r="F31">
        <f t="shared" si="1"/>
        <v>4896.8426572065664</v>
      </c>
      <c r="H31" s="12">
        <f t="shared" si="2"/>
        <v>-1527.6685378570073</v>
      </c>
      <c r="I31" s="12">
        <f t="shared" si="3"/>
        <v>4711.0570989270018</v>
      </c>
      <c r="J31" s="12">
        <f t="shared" si="4"/>
        <v>-1527.6685378570073</v>
      </c>
    </row>
    <row r="32" spans="1:10" x14ac:dyDescent="0.25">
      <c r="A32">
        <v>0.309999794</v>
      </c>
      <c r="B32">
        <v>277.90129968825005</v>
      </c>
      <c r="C32">
        <v>-199.48972172418001</v>
      </c>
      <c r="E32">
        <f t="shared" si="0"/>
        <v>-1845.9587180049291</v>
      </c>
      <c r="F32">
        <f t="shared" si="1"/>
        <v>5071.7298949639435</v>
      </c>
      <c r="H32" s="12">
        <f t="shared" si="2"/>
        <v>-1568.0574183166791</v>
      </c>
      <c r="I32" s="12">
        <f t="shared" si="3"/>
        <v>4872.2401732397639</v>
      </c>
      <c r="J32" s="12">
        <f t="shared" si="4"/>
        <v>-1568.0574183166791</v>
      </c>
    </row>
    <row r="33" spans="1:10" x14ac:dyDescent="0.25">
      <c r="A33">
        <v>0.31999966499999999</v>
      </c>
      <c r="B33">
        <v>302.69024747105004</v>
      </c>
      <c r="C33">
        <v>-214.18040406512</v>
      </c>
      <c r="E33">
        <f t="shared" si="0"/>
        <v>-1909.6124669016508</v>
      </c>
      <c r="F33">
        <f t="shared" si="1"/>
        <v>5246.6171327213206</v>
      </c>
      <c r="H33" s="12">
        <f t="shared" si="2"/>
        <v>-1606.9222194306008</v>
      </c>
      <c r="I33" s="12">
        <f t="shared" si="3"/>
        <v>5032.436728656201</v>
      </c>
      <c r="J33" s="12">
        <f t="shared" si="4"/>
        <v>-1606.9222194306008</v>
      </c>
    </row>
    <row r="34" spans="1:10" x14ac:dyDescent="0.25">
      <c r="A34">
        <v>0.329999506</v>
      </c>
      <c r="B34">
        <v>329.09296957035002</v>
      </c>
      <c r="C34">
        <v>-230.17934011681001</v>
      </c>
      <c r="E34">
        <f t="shared" si="0"/>
        <v>-1973.2662157983725</v>
      </c>
      <c r="F34">
        <f t="shared" si="1"/>
        <v>5421.5043704786976</v>
      </c>
      <c r="H34" s="12">
        <f t="shared" si="2"/>
        <v>-1644.1732462280224</v>
      </c>
      <c r="I34" s="12">
        <f t="shared" si="3"/>
        <v>5191.3250303618879</v>
      </c>
      <c r="J34" s="12">
        <f t="shared" si="4"/>
        <v>-1644.1732462280224</v>
      </c>
    </row>
    <row r="35" spans="1:10" x14ac:dyDescent="0.25">
      <c r="A35">
        <v>0.33999988399999997</v>
      </c>
      <c r="B35">
        <v>357.11873778815004</v>
      </c>
      <c r="C35">
        <v>-247.16355423845002</v>
      </c>
      <c r="E35">
        <f t="shared" si="0"/>
        <v>-2036.9199646950942</v>
      </c>
      <c r="F35">
        <f t="shared" si="1"/>
        <v>5596.3916082360747</v>
      </c>
      <c r="H35" s="12">
        <f t="shared" si="2"/>
        <v>-1679.8012269069441</v>
      </c>
      <c r="I35" s="12">
        <f t="shared" si="3"/>
        <v>5349.2280539976246</v>
      </c>
      <c r="J35" s="12">
        <f t="shared" si="4"/>
        <v>-1679.8012269069441</v>
      </c>
    </row>
    <row r="36" spans="1:10" x14ac:dyDescent="0.25">
      <c r="A36">
        <v>0.349999756</v>
      </c>
      <c r="B36">
        <v>386.52836940965005</v>
      </c>
      <c r="C36">
        <v>-264.44144483099001</v>
      </c>
      <c r="E36">
        <f t="shared" si="0"/>
        <v>-2100.5737135918157</v>
      </c>
      <c r="F36">
        <f t="shared" si="1"/>
        <v>5771.2788459934518</v>
      </c>
      <c r="H36" s="12">
        <f t="shared" si="2"/>
        <v>-1714.0453441821655</v>
      </c>
      <c r="I36" s="12">
        <f t="shared" si="3"/>
        <v>5506.8374011624619</v>
      </c>
      <c r="J36" s="12">
        <f t="shared" si="4"/>
        <v>-1714.0453441821655</v>
      </c>
    </row>
    <row r="37" spans="1:10" x14ac:dyDescent="0.25">
      <c r="A37">
        <v>0.359999597</v>
      </c>
      <c r="B37">
        <v>416.83381486185004</v>
      </c>
      <c r="C37">
        <v>-281.483923863455</v>
      </c>
      <c r="E37">
        <f t="shared" si="0"/>
        <v>-2164.2274624885372</v>
      </c>
      <c r="F37">
        <f t="shared" si="1"/>
        <v>5946.1660837508289</v>
      </c>
      <c r="H37" s="12">
        <f t="shared" si="2"/>
        <v>-1747.3936476266872</v>
      </c>
      <c r="I37" s="12">
        <f t="shared" si="3"/>
        <v>5664.6821598873739</v>
      </c>
      <c r="J37" s="12">
        <f t="shared" si="4"/>
        <v>-1747.3936476266872</v>
      </c>
    </row>
    <row r="38" spans="1:10" x14ac:dyDescent="0.25">
      <c r="A38">
        <v>0.369999468</v>
      </c>
      <c r="B38">
        <v>447.63244046542502</v>
      </c>
      <c r="C38">
        <v>-298.29199148231999</v>
      </c>
      <c r="E38">
        <f t="shared" si="0"/>
        <v>-2227.8812113852587</v>
      </c>
      <c r="F38">
        <f t="shared" si="1"/>
        <v>6121.053321508206</v>
      </c>
      <c r="H38" s="12">
        <f t="shared" si="2"/>
        <v>-1780.2487709198335</v>
      </c>
      <c r="I38" s="12">
        <f t="shared" si="3"/>
        <v>5822.7613300258863</v>
      </c>
      <c r="J38" s="12">
        <f t="shared" si="4"/>
        <v>-1780.2487709198335</v>
      </c>
    </row>
    <row r="39" spans="1:10" x14ac:dyDescent="0.25">
      <c r="A39">
        <v>0.37999984599999997</v>
      </c>
      <c r="B39">
        <v>478.80160015105002</v>
      </c>
      <c r="C39">
        <v>-315.37876126780998</v>
      </c>
      <c r="E39">
        <f t="shared" si="0"/>
        <v>-2291.5349602819801</v>
      </c>
      <c r="F39">
        <f t="shared" si="1"/>
        <v>6295.940559265583</v>
      </c>
      <c r="H39" s="12">
        <f t="shared" si="2"/>
        <v>-1812.7333601309301</v>
      </c>
      <c r="I39" s="12">
        <f t="shared" si="3"/>
        <v>5980.5617979977733</v>
      </c>
      <c r="J39" s="12">
        <f t="shared" si="4"/>
        <v>-1812.7333601309301</v>
      </c>
    </row>
    <row r="40" spans="1:10" x14ac:dyDescent="0.25">
      <c r="A40">
        <v>0.38999968800000001</v>
      </c>
      <c r="B40">
        <v>510.389951011025</v>
      </c>
      <c r="C40">
        <v>-333.4151713425</v>
      </c>
      <c r="E40">
        <f t="shared" si="0"/>
        <v>-2355.1887091787016</v>
      </c>
      <c r="F40">
        <f t="shared" si="1"/>
        <v>6470.8277970229601</v>
      </c>
      <c r="H40" s="12">
        <f t="shared" si="2"/>
        <v>-1844.7987581676766</v>
      </c>
      <c r="I40" s="12">
        <f t="shared" si="3"/>
        <v>6137.4126256804602</v>
      </c>
      <c r="J40" s="12">
        <f t="shared" si="4"/>
        <v>-1844.7987581676766</v>
      </c>
    </row>
    <row r="41" spans="1:10" x14ac:dyDescent="0.25">
      <c r="A41">
        <v>0.399999559</v>
      </c>
      <c r="B41">
        <v>542.55546228362505</v>
      </c>
      <c r="C41">
        <v>-352.76848857069001</v>
      </c>
      <c r="E41">
        <f t="shared" si="0"/>
        <v>-2418.8424580754231</v>
      </c>
      <c r="F41">
        <f t="shared" si="1"/>
        <v>6645.7150347803372</v>
      </c>
      <c r="H41" s="12">
        <f t="shared" si="2"/>
        <v>-1876.2869957917981</v>
      </c>
      <c r="I41" s="12">
        <f t="shared" si="3"/>
        <v>6292.9465462096468</v>
      </c>
      <c r="J41" s="12">
        <f t="shared" si="4"/>
        <v>-1876.2869957917981</v>
      </c>
    </row>
    <row r="42" spans="1:10" x14ac:dyDescent="0.25">
      <c r="A42">
        <v>0.40999943</v>
      </c>
      <c r="B42">
        <v>575.56314842205006</v>
      </c>
      <c r="C42">
        <v>-373.26548779377998</v>
      </c>
      <c r="E42">
        <f t="shared" si="0"/>
        <v>-2482.4962069721446</v>
      </c>
      <c r="F42">
        <f t="shared" si="1"/>
        <v>6820.6022725377143</v>
      </c>
      <c r="H42" s="12">
        <f t="shared" si="2"/>
        <v>-1906.9330585500945</v>
      </c>
      <c r="I42" s="12">
        <f t="shared" si="3"/>
        <v>6447.336784743934</v>
      </c>
      <c r="J42" s="12">
        <f t="shared" si="4"/>
        <v>-1906.9330585500945</v>
      </c>
    </row>
    <row r="43" spans="1:10" x14ac:dyDescent="0.25">
      <c r="A43">
        <v>0.41999980799999997</v>
      </c>
      <c r="B43">
        <v>609.56749847667504</v>
      </c>
      <c r="C43">
        <v>-394.37097974291925</v>
      </c>
      <c r="E43">
        <f t="shared" si="0"/>
        <v>-2546.1499558688661</v>
      </c>
      <c r="F43">
        <f t="shared" si="1"/>
        <v>6995.4895102950913</v>
      </c>
      <c r="H43" s="12">
        <f t="shared" si="2"/>
        <v>-1936.5824573921909</v>
      </c>
      <c r="I43" s="12">
        <f t="shared" si="3"/>
        <v>6601.1185305521722</v>
      </c>
      <c r="J43" s="12">
        <f t="shared" si="4"/>
        <v>-1936.5824573921909</v>
      </c>
    </row>
    <row r="44" spans="1:10" x14ac:dyDescent="0.25">
      <c r="A44">
        <v>0.42999965000000001</v>
      </c>
      <c r="B44">
        <v>644.4897318077501</v>
      </c>
      <c r="C44">
        <v>-415.570122945957</v>
      </c>
      <c r="E44">
        <f t="shared" si="0"/>
        <v>-2609.8037047655876</v>
      </c>
      <c r="F44">
        <f t="shared" si="1"/>
        <v>7170.3767480524684</v>
      </c>
      <c r="H44" s="12">
        <f t="shared" si="2"/>
        <v>-1965.3139729578374</v>
      </c>
      <c r="I44" s="12">
        <f t="shared" si="3"/>
        <v>6754.8066251065111</v>
      </c>
      <c r="J44" s="12">
        <f t="shared" si="4"/>
        <v>-1965.3139729578374</v>
      </c>
    </row>
    <row r="45" spans="1:10" x14ac:dyDescent="0.25">
      <c r="A45">
        <v>0.439999521</v>
      </c>
      <c r="B45">
        <v>680.41548301000012</v>
      </c>
      <c r="C45">
        <v>-436.66632076915397</v>
      </c>
      <c r="E45">
        <f t="shared" si="0"/>
        <v>-2673.457453662309</v>
      </c>
      <c r="F45">
        <f t="shared" si="1"/>
        <v>7345.2639858098455</v>
      </c>
      <c r="H45" s="12">
        <f t="shared" si="2"/>
        <v>-1993.0419706523089</v>
      </c>
      <c r="I45" s="12">
        <f t="shared" si="3"/>
        <v>6908.5976650406919</v>
      </c>
      <c r="J45" s="12">
        <f t="shared" si="4"/>
        <v>-1993.0419706523089</v>
      </c>
    </row>
    <row r="46" spans="1:10" x14ac:dyDescent="0.25">
      <c r="A46">
        <v>0.449999392</v>
      </c>
      <c r="B46">
        <v>717.90234561380009</v>
      </c>
      <c r="C46">
        <v>-457.89222089032097</v>
      </c>
      <c r="E46">
        <f t="shared" si="0"/>
        <v>-2737.1112025590305</v>
      </c>
      <c r="F46">
        <f t="shared" si="1"/>
        <v>7520.1512235672226</v>
      </c>
      <c r="H46" s="12">
        <f t="shared" si="2"/>
        <v>-2019.2088569452303</v>
      </c>
      <c r="I46" s="12">
        <f t="shared" si="3"/>
        <v>7062.2590026769012</v>
      </c>
      <c r="J46" s="12">
        <f t="shared" si="4"/>
        <v>-2019.2088569452303</v>
      </c>
    </row>
    <row r="47" spans="1:10" x14ac:dyDescent="0.25">
      <c r="A47">
        <v>0.45999973999999999</v>
      </c>
      <c r="B47">
        <v>757.47727335435013</v>
      </c>
      <c r="C47">
        <v>-479.72561443644798</v>
      </c>
      <c r="E47">
        <f t="shared" si="0"/>
        <v>-2800.764951455752</v>
      </c>
      <c r="F47">
        <f t="shared" si="1"/>
        <v>7695.0384613245997</v>
      </c>
      <c r="H47" s="12">
        <f t="shared" si="2"/>
        <v>-2043.287678101402</v>
      </c>
      <c r="I47" s="12">
        <f t="shared" si="3"/>
        <v>7215.3128468881514</v>
      </c>
      <c r="J47" s="12">
        <f t="shared" si="4"/>
        <v>-2043.287678101402</v>
      </c>
    </row>
    <row r="48" spans="1:10" x14ac:dyDescent="0.25">
      <c r="A48">
        <v>0.46999961099999998</v>
      </c>
      <c r="B48">
        <v>798.97804855565016</v>
      </c>
      <c r="C48">
        <v>-502.50203679109995</v>
      </c>
      <c r="E48">
        <f t="shared" si="0"/>
        <v>-2864.4187003524735</v>
      </c>
      <c r="F48">
        <f t="shared" si="1"/>
        <v>7869.9256990819767</v>
      </c>
      <c r="H48" s="12">
        <f t="shared" si="2"/>
        <v>-2065.4406517968232</v>
      </c>
      <c r="I48" s="12">
        <f t="shared" si="3"/>
        <v>7367.4236622908766</v>
      </c>
      <c r="J48" s="12">
        <f t="shared" si="4"/>
        <v>-2065.4406517968232</v>
      </c>
    </row>
    <row r="49" spans="1:10" x14ac:dyDescent="0.25">
      <c r="A49">
        <v>0.479999483</v>
      </c>
      <c r="B49">
        <v>841.69135049015017</v>
      </c>
      <c r="C49">
        <v>-526.26767416035193</v>
      </c>
      <c r="E49">
        <f t="shared" si="0"/>
        <v>-2928.072449249195</v>
      </c>
      <c r="F49">
        <f t="shared" si="1"/>
        <v>8044.8129368393538</v>
      </c>
      <c r="H49" s="12">
        <f t="shared" si="2"/>
        <v>-2086.381098759045</v>
      </c>
      <c r="I49" s="12">
        <f t="shared" si="3"/>
        <v>7518.545262679002</v>
      </c>
      <c r="J49" s="12">
        <f t="shared" si="4"/>
        <v>-2086.381098759045</v>
      </c>
    </row>
    <row r="50" spans="1:10" x14ac:dyDescent="0.25">
      <c r="A50">
        <v>0.489999354</v>
      </c>
      <c r="B50">
        <v>884.96587297205019</v>
      </c>
      <c r="C50">
        <v>-550.99770217892888</v>
      </c>
      <c r="E50">
        <f t="shared" si="0"/>
        <v>-2991.7261981459164</v>
      </c>
      <c r="F50">
        <f t="shared" si="1"/>
        <v>8219.7001745967318</v>
      </c>
      <c r="H50" s="12">
        <f t="shared" si="2"/>
        <v>-2106.7603251738665</v>
      </c>
      <c r="I50" s="12">
        <f t="shared" si="3"/>
        <v>7668.7024724178027</v>
      </c>
      <c r="J50" s="12">
        <f t="shared" si="4"/>
        <v>-2106.7603251738665</v>
      </c>
    </row>
    <row r="51" spans="1:10" x14ac:dyDescent="0.25">
      <c r="A51">
        <v>0.49999970199999999</v>
      </c>
      <c r="B51">
        <v>928.47578536787773</v>
      </c>
      <c r="C51">
        <v>-576.72219404013083</v>
      </c>
      <c r="E51">
        <f t="shared" si="0"/>
        <v>-3055.3799470426379</v>
      </c>
      <c r="F51">
        <f t="shared" si="1"/>
        <v>8394.5874123541089</v>
      </c>
      <c r="H51" s="12">
        <f t="shared" si="2"/>
        <v>-2126.90416167476</v>
      </c>
      <c r="I51" s="12">
        <f t="shared" si="3"/>
        <v>7817.8652183139784</v>
      </c>
      <c r="J51" s="12">
        <f t="shared" si="4"/>
        <v>-2126.90416167476</v>
      </c>
    </row>
    <row r="52" spans="1:10" x14ac:dyDescent="0.25">
      <c r="A52">
        <v>0.50999957299999998</v>
      </c>
      <c r="B52">
        <v>972.07862279727271</v>
      </c>
      <c r="C52">
        <v>-603.33572541543288</v>
      </c>
      <c r="E52">
        <f t="shared" si="0"/>
        <v>-3119.0336959393594</v>
      </c>
      <c r="F52">
        <f t="shared" si="1"/>
        <v>8569.474650111486</v>
      </c>
      <c r="H52" s="12">
        <f t="shared" si="2"/>
        <v>-2146.9550731420868</v>
      </c>
      <c r="I52" s="12">
        <f t="shared" si="3"/>
        <v>7966.1389246960534</v>
      </c>
      <c r="J52" s="12">
        <f t="shared" si="4"/>
        <v>-2146.9550731420868</v>
      </c>
    </row>
    <row r="53" spans="1:10" x14ac:dyDescent="0.25">
      <c r="A53">
        <v>0.51999944399999998</v>
      </c>
      <c r="B53">
        <v>1015.7083778871877</v>
      </c>
      <c r="C53">
        <v>-630.46334495602491</v>
      </c>
      <c r="E53">
        <f t="shared" si="0"/>
        <v>-3182.6874448360809</v>
      </c>
      <c r="F53">
        <f t="shared" si="1"/>
        <v>8744.3618878688631</v>
      </c>
      <c r="H53" s="12">
        <f t="shared" si="2"/>
        <v>-2166.979066948893</v>
      </c>
      <c r="I53" s="12">
        <f t="shared" si="3"/>
        <v>8113.8985429128379</v>
      </c>
      <c r="J53" s="12">
        <f t="shared" si="4"/>
        <v>-2166.979066948893</v>
      </c>
    </row>
    <row r="54" spans="1:10" x14ac:dyDescent="0.25">
      <c r="A54">
        <v>0.529999793</v>
      </c>
      <c r="B54">
        <v>1059.4878756895002</v>
      </c>
      <c r="C54">
        <v>-657.64529141922196</v>
      </c>
      <c r="E54">
        <f t="shared" si="0"/>
        <v>-3246.3411937328024</v>
      </c>
      <c r="F54">
        <f t="shared" si="1"/>
        <v>8919.2491256262401</v>
      </c>
      <c r="H54" s="12">
        <f t="shared" si="2"/>
        <v>-2186.8533180433024</v>
      </c>
      <c r="I54" s="12">
        <f t="shared" si="3"/>
        <v>8261.6038342070187</v>
      </c>
      <c r="J54" s="12">
        <f t="shared" si="4"/>
        <v>-2186.8533180433024</v>
      </c>
    </row>
    <row r="55" spans="1:10" x14ac:dyDescent="0.25">
      <c r="A55">
        <v>0.53999966399999999</v>
      </c>
      <c r="B55">
        <v>1103.8155698479302</v>
      </c>
      <c r="C55">
        <v>-684.64862434175893</v>
      </c>
      <c r="E55">
        <f t="shared" si="0"/>
        <v>-3309.9949426295238</v>
      </c>
      <c r="F55">
        <f t="shared" si="1"/>
        <v>9094.1363633836172</v>
      </c>
      <c r="H55" s="12">
        <f t="shared" si="2"/>
        <v>-2206.1793727815939</v>
      </c>
      <c r="I55" s="12">
        <f t="shared" si="3"/>
        <v>8409.4877390418587</v>
      </c>
      <c r="J55" s="12">
        <f t="shared" si="4"/>
        <v>-2206.1793727815939</v>
      </c>
    </row>
    <row r="56" spans="1:10" x14ac:dyDescent="0.25">
      <c r="A56">
        <v>0.54999953499999998</v>
      </c>
      <c r="B56">
        <v>1149.1070160202603</v>
      </c>
      <c r="C56">
        <v>-711.64424815782093</v>
      </c>
      <c r="E56">
        <f t="shared" si="0"/>
        <v>-3373.6486915262453</v>
      </c>
      <c r="F56">
        <f t="shared" si="1"/>
        <v>9269.0236011409943</v>
      </c>
      <c r="H56" s="12">
        <f t="shared" si="2"/>
        <v>-2224.541675505985</v>
      </c>
      <c r="I56" s="12">
        <f t="shared" si="3"/>
        <v>8557.3793529831728</v>
      </c>
      <c r="J56" s="12">
        <f t="shared" si="4"/>
        <v>-2224.541675505985</v>
      </c>
    </row>
    <row r="57" spans="1:10" x14ac:dyDescent="0.25">
      <c r="A57">
        <v>0.55999940599999998</v>
      </c>
      <c r="B57">
        <v>1195.4108080785402</v>
      </c>
      <c r="C57">
        <v>-739.06378895688295</v>
      </c>
      <c r="E57">
        <f t="shared" si="0"/>
        <v>-3437.3024404229668</v>
      </c>
      <c r="F57">
        <f t="shared" si="1"/>
        <v>9443.9108388983714</v>
      </c>
      <c r="H57" s="12">
        <f t="shared" si="2"/>
        <v>-2241.8916323444264</v>
      </c>
      <c r="I57" s="12">
        <f t="shared" si="3"/>
        <v>8704.8470499414889</v>
      </c>
      <c r="J57" s="12">
        <f t="shared" si="4"/>
        <v>-2241.8916323444264</v>
      </c>
    </row>
    <row r="58" spans="1:10" x14ac:dyDescent="0.25">
      <c r="A58">
        <v>0.56999975400000003</v>
      </c>
      <c r="B58">
        <v>1242.4879037988203</v>
      </c>
      <c r="C58">
        <v>-767.16588360114497</v>
      </c>
      <c r="E58">
        <f t="shared" si="0"/>
        <v>-3500.9561893196883</v>
      </c>
      <c r="F58">
        <f t="shared" si="1"/>
        <v>9618.7980766557484</v>
      </c>
      <c r="H58" s="12">
        <f t="shared" si="2"/>
        <v>-2258.468285520868</v>
      </c>
      <c r="I58" s="12">
        <f t="shared" si="3"/>
        <v>8851.6321930546037</v>
      </c>
      <c r="J58" s="12">
        <f t="shared" si="4"/>
        <v>-2258.468285520868</v>
      </c>
    </row>
    <row r="59" spans="1:10" x14ac:dyDescent="0.25">
      <c r="A59">
        <v>0.57999962599999999</v>
      </c>
      <c r="B59">
        <v>1290.2488796094253</v>
      </c>
      <c r="C59">
        <v>-795.80036763445696</v>
      </c>
      <c r="E59">
        <f t="shared" si="0"/>
        <v>-3564.6099382164098</v>
      </c>
      <c r="F59">
        <f t="shared" si="1"/>
        <v>9793.6853144131255</v>
      </c>
      <c r="H59" s="12">
        <f t="shared" si="2"/>
        <v>-2274.3610586069844</v>
      </c>
      <c r="I59" s="12">
        <f t="shared" si="3"/>
        <v>8997.8849467786677</v>
      </c>
      <c r="J59" s="12">
        <f t="shared" si="4"/>
        <v>-2274.3610586069844</v>
      </c>
    </row>
    <row r="60" spans="1:10" x14ac:dyDescent="0.25">
      <c r="A60">
        <v>0.58999949699999998</v>
      </c>
      <c r="B60">
        <v>1338.8072208985554</v>
      </c>
      <c r="C60">
        <v>-824.69827616119392</v>
      </c>
      <c r="E60">
        <f t="shared" si="0"/>
        <v>-3628.2636871131313</v>
      </c>
      <c r="F60">
        <f t="shared" si="1"/>
        <v>9968.5725521705026</v>
      </c>
      <c r="H60" s="12">
        <f t="shared" si="2"/>
        <v>-2289.4564662145758</v>
      </c>
      <c r="I60" s="12">
        <f t="shared" si="3"/>
        <v>9143.8742760093082</v>
      </c>
      <c r="J60" s="12">
        <f t="shared" si="4"/>
        <v>-2289.4564662145758</v>
      </c>
    </row>
    <row r="61" spans="1:10" x14ac:dyDescent="0.25">
      <c r="A61">
        <v>0.59999936799999998</v>
      </c>
      <c r="B61">
        <v>1388.1014414174354</v>
      </c>
      <c r="C61">
        <v>-853.85270736553093</v>
      </c>
      <c r="E61">
        <f t="shared" si="0"/>
        <v>-3691.9174360098527</v>
      </c>
      <c r="F61">
        <f t="shared" si="1"/>
        <v>10143.45978992788</v>
      </c>
      <c r="H61" s="12">
        <f t="shared" si="2"/>
        <v>-2303.8159945924172</v>
      </c>
      <c r="I61" s="12">
        <f t="shared" si="3"/>
        <v>9289.6070825623483</v>
      </c>
      <c r="J61" s="12">
        <f t="shared" si="4"/>
        <v>-2303.8159945924172</v>
      </c>
    </row>
    <row r="62" spans="1:10" x14ac:dyDescent="0.25">
      <c r="A62">
        <v>0.60999971600000003</v>
      </c>
      <c r="B62">
        <v>1437.8033956658828</v>
      </c>
      <c r="C62">
        <v>-883.53462216359299</v>
      </c>
      <c r="E62">
        <f t="shared" si="0"/>
        <v>-3755.5711849065742</v>
      </c>
      <c r="F62">
        <f t="shared" si="1"/>
        <v>10318.347027685257</v>
      </c>
      <c r="H62" s="12">
        <f t="shared" si="2"/>
        <v>-2317.7677892406914</v>
      </c>
      <c r="I62" s="12">
        <f t="shared" si="3"/>
        <v>9434.8124055216631</v>
      </c>
      <c r="J62" s="12">
        <f t="shared" si="4"/>
        <v>-2317.7677892406914</v>
      </c>
    </row>
    <row r="63" spans="1:10" x14ac:dyDescent="0.25">
      <c r="A63">
        <v>0.61999958799999999</v>
      </c>
      <c r="B63">
        <v>1487.6274290776978</v>
      </c>
      <c r="C63">
        <v>-914.08301761357995</v>
      </c>
      <c r="E63">
        <f t="shared" si="0"/>
        <v>-3819.2249338032957</v>
      </c>
      <c r="F63">
        <f t="shared" si="1"/>
        <v>10493.234265442634</v>
      </c>
      <c r="H63" s="12">
        <f t="shared" si="2"/>
        <v>-2331.5975047255979</v>
      </c>
      <c r="I63" s="12">
        <f t="shared" si="3"/>
        <v>9579.1512478290533</v>
      </c>
      <c r="J63" s="12">
        <f t="shared" si="4"/>
        <v>-2331.5975047255979</v>
      </c>
    </row>
    <row r="64" spans="1:10" x14ac:dyDescent="0.25">
      <c r="A64">
        <v>0.62999945899999998</v>
      </c>
      <c r="B64">
        <v>1537.3811714097953</v>
      </c>
      <c r="C64">
        <v>-945.69203537821693</v>
      </c>
      <c r="E64">
        <f t="shared" si="0"/>
        <v>-3882.8786827000172</v>
      </c>
      <c r="F64">
        <f t="shared" si="1"/>
        <v>10668.121503200011</v>
      </c>
      <c r="H64" s="12">
        <f t="shared" si="2"/>
        <v>-2345.4975112902221</v>
      </c>
      <c r="I64" s="12">
        <f t="shared" si="3"/>
        <v>9722.4294678217939</v>
      </c>
      <c r="J64" s="12">
        <f t="shared" si="4"/>
        <v>-2345.4975112902221</v>
      </c>
    </row>
    <row r="65" spans="1:10" x14ac:dyDescent="0.25">
      <c r="A65">
        <v>0.63999932999999998</v>
      </c>
      <c r="B65">
        <v>1586.7330697759753</v>
      </c>
      <c r="C65">
        <v>-978.22649711272891</v>
      </c>
      <c r="E65">
        <f t="shared" si="0"/>
        <v>-3946.5324315967387</v>
      </c>
      <c r="F65">
        <f t="shared" si="1"/>
        <v>10843.008740957388</v>
      </c>
      <c r="H65" s="12">
        <f t="shared" si="2"/>
        <v>-2359.7993618207634</v>
      </c>
      <c r="I65" s="12">
        <f t="shared" si="3"/>
        <v>9864.7822438446583</v>
      </c>
      <c r="J65" s="12">
        <f t="shared" si="4"/>
        <v>-2359.7993618207634</v>
      </c>
    </row>
    <row r="66" spans="1:10" x14ac:dyDescent="0.25">
      <c r="A66">
        <v>0.64999967800000003</v>
      </c>
      <c r="B66">
        <v>1635.4944329004552</v>
      </c>
      <c r="C66">
        <v>-1011.1688646456159</v>
      </c>
      <c r="E66">
        <f t="shared" si="0"/>
        <v>-4010.1861804934601</v>
      </c>
      <c r="F66">
        <f t="shared" si="1"/>
        <v>11017.895978714765</v>
      </c>
      <c r="H66" s="12">
        <f t="shared" si="2"/>
        <v>-2374.6917475930049</v>
      </c>
      <c r="I66" s="12">
        <f t="shared" si="3"/>
        <v>10006.727114069148</v>
      </c>
      <c r="J66" s="12">
        <f t="shared" si="4"/>
        <v>-2374.6917475930049</v>
      </c>
    </row>
    <row r="67" spans="1:10" x14ac:dyDescent="0.25">
      <c r="A67">
        <v>0.65999954900000002</v>
      </c>
      <c r="B67">
        <v>1684.2746106733102</v>
      </c>
      <c r="C67">
        <v>-1043.839045581828</v>
      </c>
      <c r="E67">
        <f t="shared" si="0"/>
        <v>-4073.8399293901816</v>
      </c>
      <c r="F67">
        <f t="shared" si="1"/>
        <v>11192.783216472142</v>
      </c>
      <c r="H67" s="12">
        <f t="shared" si="2"/>
        <v>-2389.5653187168714</v>
      </c>
      <c r="I67" s="12">
        <f t="shared" si="3"/>
        <v>10148.944170890314</v>
      </c>
      <c r="J67" s="12">
        <f t="shared" si="4"/>
        <v>-2389.5653187168714</v>
      </c>
    </row>
    <row r="68" spans="1:10" x14ac:dyDescent="0.25">
      <c r="A68">
        <v>0.66999942099999998</v>
      </c>
      <c r="B68">
        <v>1734.2027282530903</v>
      </c>
      <c r="C68">
        <v>-1075.8284095746651</v>
      </c>
      <c r="E68">
        <f t="shared" si="0"/>
        <v>-4137.4936782869036</v>
      </c>
      <c r="F68">
        <f t="shared" si="1"/>
        <v>11367.670454229519</v>
      </c>
      <c r="H68" s="12">
        <f t="shared" si="2"/>
        <v>-2403.2909500338133</v>
      </c>
      <c r="I68" s="12">
        <f t="shared" si="3"/>
        <v>10291.842044654853</v>
      </c>
      <c r="J68" s="12">
        <f t="shared" si="4"/>
        <v>-2403.2909500338133</v>
      </c>
    </row>
    <row r="69" spans="1:10" x14ac:dyDescent="0.25">
      <c r="A69">
        <v>0.67999923200000001</v>
      </c>
      <c r="B69">
        <v>1785.7077973707453</v>
      </c>
      <c r="C69">
        <v>-1107.3059822985522</v>
      </c>
      <c r="E69">
        <f t="shared" ref="E69:E132" si="5">E68+$I$1*0.01</f>
        <v>-4201.147427183625</v>
      </c>
      <c r="F69">
        <f t="shared" ref="F69:F132" si="6">F68+$K$1*0.01</f>
        <v>11542.557691986896</v>
      </c>
      <c r="H69" s="12">
        <f t="shared" ref="H69:H132" si="7">B69+E69</f>
        <v>-2415.4396298128795</v>
      </c>
      <c r="I69" s="12">
        <f t="shared" ref="I69:I132" si="8">C69+F69</f>
        <v>10435.251709688344</v>
      </c>
      <c r="J69" s="12">
        <f t="shared" ref="J69:J132" si="9">H69</f>
        <v>-2415.4396298128795</v>
      </c>
    </row>
    <row r="70" spans="1:10" x14ac:dyDescent="0.25">
      <c r="A70">
        <v>0.68999964000000003</v>
      </c>
      <c r="B70">
        <v>1838.1683636971229</v>
      </c>
      <c r="C70">
        <v>-1138.8511871452392</v>
      </c>
      <c r="E70">
        <f t="shared" si="5"/>
        <v>-4264.8011760803465</v>
      </c>
      <c r="F70">
        <f t="shared" si="6"/>
        <v>11717.444929744273</v>
      </c>
      <c r="H70" s="12">
        <f t="shared" si="7"/>
        <v>-2426.6328123832236</v>
      </c>
      <c r="I70" s="12">
        <f t="shared" si="8"/>
        <v>10578.593742599034</v>
      </c>
      <c r="J70" s="12">
        <f t="shared" si="9"/>
        <v>-2426.6328123832236</v>
      </c>
    </row>
    <row r="71" spans="1:10" x14ac:dyDescent="0.25">
      <c r="A71">
        <v>0.69999951100000002</v>
      </c>
      <c r="B71">
        <v>1890.9433083094955</v>
      </c>
      <c r="C71">
        <v>-1170.9560417264513</v>
      </c>
      <c r="E71">
        <f t="shared" si="5"/>
        <v>-4328.454924977068</v>
      </c>
      <c r="F71">
        <f t="shared" si="6"/>
        <v>11892.33216750165</v>
      </c>
      <c r="H71" s="12">
        <f t="shared" si="7"/>
        <v>-2437.5116166675725</v>
      </c>
      <c r="I71" s="12">
        <f t="shared" si="8"/>
        <v>10721.376125775199</v>
      </c>
      <c r="J71" s="12">
        <f t="shared" si="9"/>
        <v>-2437.5116166675725</v>
      </c>
    </row>
    <row r="72" spans="1:10" x14ac:dyDescent="0.25">
      <c r="A72">
        <v>0.70999938299999998</v>
      </c>
      <c r="B72">
        <v>1943.9717879114405</v>
      </c>
      <c r="C72">
        <v>-1203.7178831118883</v>
      </c>
      <c r="E72">
        <f t="shared" si="5"/>
        <v>-4392.1086738737895</v>
      </c>
      <c r="F72">
        <f t="shared" si="6"/>
        <v>12067.219405259028</v>
      </c>
      <c r="H72" s="12">
        <f t="shared" si="7"/>
        <v>-2448.136885962349</v>
      </c>
      <c r="I72" s="12">
        <f t="shared" si="8"/>
        <v>10863.501522147139</v>
      </c>
      <c r="J72" s="12">
        <f t="shared" si="9"/>
        <v>-2448.136885962349</v>
      </c>
    </row>
    <row r="73" spans="1:10" x14ac:dyDescent="0.25">
      <c r="A73">
        <v>0.71999919400000001</v>
      </c>
      <c r="B73">
        <v>1997.1650589501855</v>
      </c>
      <c r="C73">
        <v>-1236.9182550484754</v>
      </c>
      <c r="E73">
        <f t="shared" si="5"/>
        <v>-4455.762422770511</v>
      </c>
      <c r="F73">
        <f t="shared" si="6"/>
        <v>12242.106643016405</v>
      </c>
      <c r="H73" s="12">
        <f t="shared" si="7"/>
        <v>-2458.5973638203254</v>
      </c>
      <c r="I73" s="12">
        <f t="shared" si="8"/>
        <v>11005.18838796793</v>
      </c>
      <c r="J73" s="12">
        <f t="shared" si="9"/>
        <v>-2458.5973638203254</v>
      </c>
    </row>
    <row r="74" spans="1:10" x14ac:dyDescent="0.25">
      <c r="A74">
        <v>0.72999960200000003</v>
      </c>
      <c r="B74">
        <v>2050.1643911278807</v>
      </c>
      <c r="C74">
        <v>-1270.2296899672374</v>
      </c>
      <c r="E74">
        <f t="shared" si="5"/>
        <v>-4519.4161716672324</v>
      </c>
      <c r="F74">
        <f t="shared" si="6"/>
        <v>12416.993880773782</v>
      </c>
      <c r="H74" s="12">
        <f t="shared" si="7"/>
        <v>-2469.2517805393518</v>
      </c>
      <c r="I74" s="12">
        <f t="shared" si="8"/>
        <v>11146.764190806545</v>
      </c>
      <c r="J74" s="12">
        <f t="shared" si="9"/>
        <v>-2469.2517805393518</v>
      </c>
    </row>
    <row r="75" spans="1:10" x14ac:dyDescent="0.25">
      <c r="A75">
        <v>0.73999947300000002</v>
      </c>
      <c r="B75">
        <v>2103.0971793969256</v>
      </c>
      <c r="C75">
        <v>-1303.3998341785993</v>
      </c>
      <c r="E75">
        <f t="shared" si="5"/>
        <v>-4583.0699205639539</v>
      </c>
      <c r="F75">
        <f t="shared" si="6"/>
        <v>12591.881118531159</v>
      </c>
      <c r="H75" s="12">
        <f t="shared" si="7"/>
        <v>-2479.9727411670283</v>
      </c>
      <c r="I75" s="12">
        <f t="shared" si="8"/>
        <v>11288.48128435256</v>
      </c>
      <c r="J75" s="12">
        <f t="shared" si="9"/>
        <v>-2479.9727411670283</v>
      </c>
    </row>
    <row r="76" spans="1:10" x14ac:dyDescent="0.25">
      <c r="A76">
        <v>0.74999928500000002</v>
      </c>
      <c r="B76">
        <v>2156.8308818565706</v>
      </c>
      <c r="C76">
        <v>-1336.4403315698864</v>
      </c>
      <c r="E76">
        <f t="shared" si="5"/>
        <v>-4646.7236694606754</v>
      </c>
      <c r="F76">
        <f t="shared" si="6"/>
        <v>12766.768356288536</v>
      </c>
      <c r="H76" s="12">
        <f t="shared" si="7"/>
        <v>-2489.8927876041048</v>
      </c>
      <c r="I76" s="12">
        <f t="shared" si="8"/>
        <v>11430.328024718649</v>
      </c>
      <c r="J76" s="12">
        <f t="shared" si="9"/>
        <v>-2489.8927876041048</v>
      </c>
    </row>
    <row r="77" spans="1:10" x14ac:dyDescent="0.25">
      <c r="A77">
        <v>0.75999915600000001</v>
      </c>
      <c r="B77">
        <v>2212.2253614645406</v>
      </c>
      <c r="C77">
        <v>-1369.6671501830983</v>
      </c>
      <c r="E77">
        <f t="shared" si="5"/>
        <v>-4710.3774183573969</v>
      </c>
      <c r="F77">
        <f t="shared" si="6"/>
        <v>12941.655594045913</v>
      </c>
      <c r="H77" s="12">
        <f t="shared" si="7"/>
        <v>-2498.1520568928563</v>
      </c>
      <c r="I77" s="12">
        <f t="shared" si="8"/>
        <v>11571.988443862814</v>
      </c>
      <c r="J77" s="12">
        <f t="shared" si="9"/>
        <v>-2498.1520568928563</v>
      </c>
    </row>
    <row r="78" spans="1:10" x14ac:dyDescent="0.25">
      <c r="A78">
        <v>0.76999956400000003</v>
      </c>
      <c r="B78">
        <v>2269.7791538167608</v>
      </c>
      <c r="C78">
        <v>-1403.4637294835604</v>
      </c>
      <c r="E78">
        <f t="shared" si="5"/>
        <v>-4774.0311672541184</v>
      </c>
      <c r="F78">
        <f t="shared" si="6"/>
        <v>13116.54283180329</v>
      </c>
      <c r="H78" s="12">
        <f t="shared" si="7"/>
        <v>-2504.2520134373576</v>
      </c>
      <c r="I78" s="12">
        <f t="shared" si="8"/>
        <v>11713.079102319729</v>
      </c>
      <c r="J78" s="12">
        <f t="shared" si="9"/>
        <v>-2504.2520134373576</v>
      </c>
    </row>
    <row r="79" spans="1:10" x14ac:dyDescent="0.25">
      <c r="A79">
        <v>0.77999937500000005</v>
      </c>
      <c r="B79">
        <v>2330.1301763449806</v>
      </c>
      <c r="C79">
        <v>-1437.9880598704474</v>
      </c>
      <c r="E79">
        <f t="shared" si="5"/>
        <v>-4837.6849161508399</v>
      </c>
      <c r="F79">
        <f t="shared" si="6"/>
        <v>13291.430069560667</v>
      </c>
      <c r="H79" s="12">
        <f t="shared" si="7"/>
        <v>-2507.5547398058593</v>
      </c>
      <c r="I79" s="12">
        <f t="shared" si="8"/>
        <v>11853.442009690219</v>
      </c>
      <c r="J79" s="12">
        <f t="shared" si="9"/>
        <v>-2507.5547398058593</v>
      </c>
    </row>
    <row r="80" spans="1:10" x14ac:dyDescent="0.25">
      <c r="A80">
        <v>0.78999924700000002</v>
      </c>
      <c r="B80">
        <v>2394.1475800257003</v>
      </c>
      <c r="C80">
        <v>-1473.1058231736095</v>
      </c>
      <c r="E80">
        <f t="shared" si="5"/>
        <v>-4901.3386650475613</v>
      </c>
      <c r="F80">
        <f t="shared" si="6"/>
        <v>13466.317307318044</v>
      </c>
      <c r="H80" s="12">
        <f t="shared" si="7"/>
        <v>-2507.191085021861</v>
      </c>
      <c r="I80" s="12">
        <f t="shared" si="8"/>
        <v>11993.211484144435</v>
      </c>
      <c r="J80" s="12">
        <f t="shared" si="9"/>
        <v>-2507.191085021861</v>
      </c>
    </row>
    <row r="81" spans="1:10" x14ac:dyDescent="0.25">
      <c r="A81">
        <v>0.79999911800000001</v>
      </c>
      <c r="B81">
        <v>2461.9756381499205</v>
      </c>
      <c r="C81">
        <v>-1508.5229580496539</v>
      </c>
      <c r="E81">
        <f t="shared" si="5"/>
        <v>-4964.9924139442828</v>
      </c>
      <c r="F81">
        <f t="shared" si="6"/>
        <v>13641.204545075421</v>
      </c>
      <c r="H81" s="12">
        <f t="shared" si="7"/>
        <v>-2503.0167757943623</v>
      </c>
      <c r="I81" s="12">
        <f t="shared" si="8"/>
        <v>12132.681587025767</v>
      </c>
      <c r="J81" s="12">
        <f t="shared" si="9"/>
        <v>-2503.0167757943623</v>
      </c>
    </row>
    <row r="82" spans="1:10" x14ac:dyDescent="0.25">
      <c r="A82">
        <v>0.80999952600000003</v>
      </c>
      <c r="B82">
        <v>2532.1210793309406</v>
      </c>
      <c r="C82">
        <v>-1543.9131956478634</v>
      </c>
      <c r="E82">
        <f t="shared" si="5"/>
        <v>-5028.6461628410043</v>
      </c>
      <c r="F82">
        <f t="shared" si="6"/>
        <v>13816.091782832798</v>
      </c>
      <c r="H82" s="12">
        <f t="shared" si="7"/>
        <v>-2496.5250835100637</v>
      </c>
      <c r="I82" s="12">
        <f t="shared" si="8"/>
        <v>12272.178587184935</v>
      </c>
      <c r="J82" s="12">
        <f t="shared" si="9"/>
        <v>-2496.5250835100637</v>
      </c>
    </row>
    <row r="83" spans="1:10" x14ac:dyDescent="0.25">
      <c r="A83">
        <v>0.81999933700000005</v>
      </c>
      <c r="B83">
        <v>2601.8297338420607</v>
      </c>
      <c r="C83">
        <v>-1578.9841006685554</v>
      </c>
      <c r="E83">
        <f t="shared" si="5"/>
        <v>-5092.2999117377258</v>
      </c>
      <c r="F83">
        <f t="shared" si="6"/>
        <v>13990.979020590175</v>
      </c>
      <c r="H83" s="12">
        <f t="shared" si="7"/>
        <v>-2490.4701778956651</v>
      </c>
      <c r="I83" s="12">
        <f t="shared" si="8"/>
        <v>12411.994919921621</v>
      </c>
      <c r="J83" s="12">
        <f t="shared" si="9"/>
        <v>-2490.4701778956651</v>
      </c>
    </row>
    <row r="84" spans="1:10" x14ac:dyDescent="0.25">
      <c r="A84">
        <v>0.82999920800000004</v>
      </c>
      <c r="B84">
        <v>2668.6244342027308</v>
      </c>
      <c r="C84">
        <v>-1613.6068708808973</v>
      </c>
      <c r="E84">
        <f t="shared" si="5"/>
        <v>-5155.9536606344473</v>
      </c>
      <c r="F84">
        <f t="shared" si="6"/>
        <v>14165.866258347553</v>
      </c>
      <c r="H84" s="12">
        <f t="shared" si="7"/>
        <v>-2487.3292264317165</v>
      </c>
      <c r="I84" s="12">
        <f t="shared" si="8"/>
        <v>12552.259387466655</v>
      </c>
      <c r="J84" s="12">
        <f t="shared" si="9"/>
        <v>-2487.3292264317165</v>
      </c>
    </row>
    <row r="85" spans="1:10" x14ac:dyDescent="0.25">
      <c r="A85">
        <v>0.83999908000000001</v>
      </c>
      <c r="B85">
        <v>2731.7895245536506</v>
      </c>
      <c r="C85">
        <v>-1648.0085252851393</v>
      </c>
      <c r="E85">
        <f t="shared" si="5"/>
        <v>-5219.6074095311687</v>
      </c>
      <c r="F85">
        <f t="shared" si="6"/>
        <v>14340.75349610493</v>
      </c>
      <c r="H85" s="12">
        <f t="shared" si="7"/>
        <v>-2487.8178849775181</v>
      </c>
      <c r="I85" s="12">
        <f t="shared" si="8"/>
        <v>12692.744970819791</v>
      </c>
      <c r="J85" s="12">
        <f t="shared" si="9"/>
        <v>-2487.8178849775181</v>
      </c>
    </row>
    <row r="86" spans="1:10" x14ac:dyDescent="0.25">
      <c r="A86">
        <v>0.84999942799999995</v>
      </c>
      <c r="B86">
        <v>2792.6321556088956</v>
      </c>
      <c r="C86">
        <v>-1682.6989617999814</v>
      </c>
      <c r="E86">
        <f t="shared" si="5"/>
        <v>-5283.2611584278902</v>
      </c>
      <c r="F86">
        <f t="shared" si="6"/>
        <v>14515.640733862307</v>
      </c>
      <c r="H86" s="12">
        <f t="shared" si="7"/>
        <v>-2490.6290028189946</v>
      </c>
      <c r="I86" s="12">
        <f t="shared" si="8"/>
        <v>12832.941772062326</v>
      </c>
      <c r="J86" s="12">
        <f t="shared" si="9"/>
        <v>-2490.6290028189946</v>
      </c>
    </row>
    <row r="87" spans="1:10" x14ac:dyDescent="0.25">
      <c r="A87">
        <v>0.85999929900000005</v>
      </c>
      <c r="B87">
        <v>2853.4495108950405</v>
      </c>
      <c r="C87">
        <v>-1718.0449199090483</v>
      </c>
      <c r="E87">
        <f t="shared" si="5"/>
        <v>-5346.9149073246117</v>
      </c>
      <c r="F87">
        <f t="shared" si="6"/>
        <v>14690.527971619684</v>
      </c>
      <c r="H87" s="12">
        <f t="shared" si="7"/>
        <v>-2493.4653964295712</v>
      </c>
      <c r="I87" s="12">
        <f t="shared" si="8"/>
        <v>12972.483051710635</v>
      </c>
      <c r="J87" s="12">
        <f t="shared" si="9"/>
        <v>-2493.4653964295712</v>
      </c>
    </row>
    <row r="88" spans="1:10" x14ac:dyDescent="0.25">
      <c r="A88">
        <v>0.86999917000000004</v>
      </c>
      <c r="B88">
        <v>2916.3673118660104</v>
      </c>
      <c r="C88">
        <v>-1754.0429211089154</v>
      </c>
      <c r="E88">
        <f t="shared" si="5"/>
        <v>-5410.5686562213332</v>
      </c>
      <c r="F88">
        <f t="shared" si="6"/>
        <v>14865.415209377061</v>
      </c>
      <c r="H88" s="12">
        <f t="shared" si="7"/>
        <v>-2494.2013443553228</v>
      </c>
      <c r="I88" s="12">
        <f t="shared" si="8"/>
        <v>13111.372288268145</v>
      </c>
      <c r="J88" s="12">
        <f t="shared" si="9"/>
        <v>-2494.2013443553228</v>
      </c>
    </row>
    <row r="89" spans="1:10" x14ac:dyDescent="0.25">
      <c r="A89">
        <v>0.87999904200000001</v>
      </c>
      <c r="B89">
        <v>2982.8400438917306</v>
      </c>
      <c r="C89">
        <v>-1790.5785169376825</v>
      </c>
      <c r="E89">
        <f t="shared" si="5"/>
        <v>-5474.2224051180547</v>
      </c>
      <c r="F89">
        <f t="shared" si="6"/>
        <v>15040.302447134438</v>
      </c>
      <c r="H89" s="12">
        <f t="shared" si="7"/>
        <v>-2491.3823612263241</v>
      </c>
      <c r="I89" s="12">
        <f t="shared" si="8"/>
        <v>13249.723930196755</v>
      </c>
      <c r="J89" s="12">
        <f t="shared" si="9"/>
        <v>-2491.3823612263241</v>
      </c>
    </row>
    <row r="90" spans="1:10" x14ac:dyDescent="0.25">
      <c r="A90">
        <v>0.88999938999999995</v>
      </c>
      <c r="B90">
        <v>3053.2515516987005</v>
      </c>
      <c r="C90">
        <v>-1827.7187145364744</v>
      </c>
      <c r="E90">
        <f t="shared" si="5"/>
        <v>-5537.8761540147761</v>
      </c>
      <c r="F90">
        <f t="shared" si="6"/>
        <v>15215.189684891815</v>
      </c>
      <c r="H90" s="12">
        <f t="shared" si="7"/>
        <v>-2484.6246023160757</v>
      </c>
      <c r="I90" s="12">
        <f t="shared" si="8"/>
        <v>13387.47097035534</v>
      </c>
      <c r="J90" s="12">
        <f t="shared" si="9"/>
        <v>-2484.6246023160757</v>
      </c>
    </row>
    <row r="91" spans="1:10" x14ac:dyDescent="0.25">
      <c r="A91">
        <v>0.89999926100000005</v>
      </c>
      <c r="B91">
        <v>3126.4156248132454</v>
      </c>
      <c r="C91">
        <v>-1865.6535406386913</v>
      </c>
      <c r="E91">
        <f t="shared" si="5"/>
        <v>-5601.5299029114976</v>
      </c>
      <c r="F91">
        <f t="shared" si="6"/>
        <v>15390.076922649192</v>
      </c>
      <c r="H91" s="12">
        <f t="shared" si="7"/>
        <v>-2475.1142780982523</v>
      </c>
      <c r="I91" s="12">
        <f t="shared" si="8"/>
        <v>13524.4233820105</v>
      </c>
      <c r="J91" s="12">
        <f t="shared" si="9"/>
        <v>-2475.1142780982523</v>
      </c>
    </row>
    <row r="92" spans="1:10" x14ac:dyDescent="0.25">
      <c r="A92">
        <v>0.90999913200000004</v>
      </c>
      <c r="B92">
        <v>3200.0526997831903</v>
      </c>
      <c r="C92">
        <v>-1904.3913679127834</v>
      </c>
      <c r="E92">
        <f t="shared" si="5"/>
        <v>-5665.1836518082191</v>
      </c>
      <c r="F92">
        <f t="shared" si="6"/>
        <v>15564.964160406569</v>
      </c>
      <c r="H92" s="12">
        <f t="shared" si="7"/>
        <v>-2465.1309520250288</v>
      </c>
      <c r="I92" s="12">
        <f t="shared" si="8"/>
        <v>13660.572792493786</v>
      </c>
      <c r="J92" s="12">
        <f t="shared" si="9"/>
        <v>-2465.1309520250288</v>
      </c>
    </row>
    <row r="93" spans="1:10" x14ac:dyDescent="0.25">
      <c r="A93">
        <v>0.91999900300000004</v>
      </c>
      <c r="B93">
        <v>3272.3828781464604</v>
      </c>
      <c r="C93">
        <v>-1943.5714807307004</v>
      </c>
      <c r="E93">
        <f t="shared" si="5"/>
        <v>-5728.8374007049406</v>
      </c>
      <c r="F93">
        <f t="shared" si="6"/>
        <v>15739.851398163946</v>
      </c>
      <c r="H93" s="12">
        <f t="shared" si="7"/>
        <v>-2456.4545225584802</v>
      </c>
      <c r="I93" s="12">
        <f t="shared" si="8"/>
        <v>13796.279917433247</v>
      </c>
      <c r="J93" s="12">
        <f t="shared" si="9"/>
        <v>-2456.4545225584802</v>
      </c>
    </row>
    <row r="94" spans="1:10" x14ac:dyDescent="0.25">
      <c r="A94">
        <v>0.92999935199999995</v>
      </c>
      <c r="B94">
        <v>3343.1023471100302</v>
      </c>
      <c r="C94">
        <v>-1982.6629451538674</v>
      </c>
      <c r="E94">
        <f t="shared" si="5"/>
        <v>-5792.4911496016621</v>
      </c>
      <c r="F94">
        <f t="shared" si="6"/>
        <v>15914.738635921323</v>
      </c>
      <c r="H94" s="12">
        <f t="shared" si="7"/>
        <v>-2449.3888024916318</v>
      </c>
      <c r="I94" s="12">
        <f t="shared" si="8"/>
        <v>13932.075690767455</v>
      </c>
      <c r="J94" s="12">
        <f t="shared" si="9"/>
        <v>-2449.3888024916318</v>
      </c>
    </row>
    <row r="95" spans="1:10" x14ac:dyDescent="0.25">
      <c r="A95">
        <v>0.93999922300000005</v>
      </c>
      <c r="B95">
        <v>3412.8058199980501</v>
      </c>
      <c r="C95">
        <v>-2021.3766456396845</v>
      </c>
      <c r="E95">
        <f t="shared" si="5"/>
        <v>-5856.1448984983836</v>
      </c>
      <c r="F95">
        <f t="shared" si="6"/>
        <v>16089.6258736787</v>
      </c>
      <c r="H95" s="12">
        <f t="shared" si="7"/>
        <v>-2443.3390785003335</v>
      </c>
      <c r="I95" s="12">
        <f t="shared" si="8"/>
        <v>14068.249228039016</v>
      </c>
      <c r="J95" s="12">
        <f t="shared" si="9"/>
        <v>-2443.3390785003335</v>
      </c>
    </row>
    <row r="96" spans="1:10" x14ac:dyDescent="0.25">
      <c r="A96">
        <v>0.94999909400000004</v>
      </c>
      <c r="B96">
        <v>3482.0947249424926</v>
      </c>
      <c r="C96">
        <v>-2059.8571495892515</v>
      </c>
      <c r="E96">
        <f t="shared" si="5"/>
        <v>-5919.798647395105</v>
      </c>
      <c r="F96">
        <f t="shared" si="6"/>
        <v>16264.513111436077</v>
      </c>
      <c r="H96" s="12">
        <f t="shared" si="7"/>
        <v>-2437.7039224526125</v>
      </c>
      <c r="I96" s="12">
        <f t="shared" si="8"/>
        <v>14204.655961846825</v>
      </c>
      <c r="J96" s="12">
        <f t="shared" si="9"/>
        <v>-2437.7039224526125</v>
      </c>
    </row>
    <row r="97" spans="1:10" x14ac:dyDescent="0.25">
      <c r="A97">
        <v>0.95999896500000004</v>
      </c>
      <c r="B97">
        <v>3551.5306744868299</v>
      </c>
      <c r="C97">
        <v>-2098.5101360339436</v>
      </c>
      <c r="E97">
        <f t="shared" si="5"/>
        <v>-5983.4523962918265</v>
      </c>
      <c r="F97">
        <f t="shared" si="6"/>
        <v>16439.400349193456</v>
      </c>
      <c r="H97" s="12">
        <f t="shared" si="7"/>
        <v>-2431.9217218049967</v>
      </c>
      <c r="I97" s="12">
        <f t="shared" si="8"/>
        <v>14340.890213159513</v>
      </c>
      <c r="J97" s="12">
        <f t="shared" si="9"/>
        <v>-2431.9217218049967</v>
      </c>
    </row>
    <row r="98" spans="1:10" x14ac:dyDescent="0.25">
      <c r="A98">
        <v>0.96999931299999997</v>
      </c>
      <c r="B98">
        <v>3621.8797855187399</v>
      </c>
      <c r="C98">
        <v>-2137.6879144311606</v>
      </c>
      <c r="E98">
        <f t="shared" si="5"/>
        <v>-6047.106145188548</v>
      </c>
      <c r="F98">
        <f t="shared" si="6"/>
        <v>16614.287586950835</v>
      </c>
      <c r="H98" s="12">
        <f t="shared" si="7"/>
        <v>-2425.2263596698081</v>
      </c>
      <c r="I98" s="12">
        <f t="shared" si="8"/>
        <v>14476.599672519675</v>
      </c>
      <c r="J98" s="12">
        <f t="shared" si="9"/>
        <v>-2425.2263596698081</v>
      </c>
    </row>
    <row r="99" spans="1:10" x14ac:dyDescent="0.25">
      <c r="A99">
        <v>0.97999918500000005</v>
      </c>
      <c r="B99">
        <v>3693.7854183035997</v>
      </c>
      <c r="C99">
        <v>-2177.4717682678274</v>
      </c>
      <c r="E99">
        <f t="shared" si="5"/>
        <v>-6110.7598940852695</v>
      </c>
      <c r="F99">
        <f t="shared" si="6"/>
        <v>16789.174824708214</v>
      </c>
      <c r="H99" s="12">
        <f t="shared" si="7"/>
        <v>-2416.9744757816698</v>
      </c>
      <c r="I99" s="12">
        <f t="shared" si="8"/>
        <v>14611.703056440387</v>
      </c>
      <c r="J99" s="12">
        <f t="shared" si="9"/>
        <v>-2416.9744757816698</v>
      </c>
    </row>
    <row r="100" spans="1:10" x14ac:dyDescent="0.25">
      <c r="A100">
        <v>0.98999905600000004</v>
      </c>
      <c r="B100">
        <v>3767.2825130269598</v>
      </c>
      <c r="C100">
        <v>-2217.6812142340195</v>
      </c>
      <c r="E100">
        <f t="shared" si="5"/>
        <v>-6174.413642981991</v>
      </c>
      <c r="F100">
        <f t="shared" si="6"/>
        <v>16964.062062465593</v>
      </c>
      <c r="H100" s="12">
        <f t="shared" si="7"/>
        <v>-2407.1311299550312</v>
      </c>
      <c r="I100" s="12">
        <f t="shared" si="8"/>
        <v>14746.380848231573</v>
      </c>
      <c r="J100" s="12">
        <f t="shared" si="9"/>
        <v>-2407.1311299550312</v>
      </c>
    </row>
    <row r="101" spans="1:10" x14ac:dyDescent="0.25">
      <c r="A101">
        <v>0.99999892700000004</v>
      </c>
      <c r="B101">
        <v>3841.9317775135196</v>
      </c>
      <c r="C101">
        <v>-2258.0625092717291</v>
      </c>
      <c r="E101">
        <f t="shared" si="5"/>
        <v>-6238.0673918787124</v>
      </c>
      <c r="F101">
        <f t="shared" si="6"/>
        <v>17138.949300222972</v>
      </c>
      <c r="H101" s="12">
        <f t="shared" si="7"/>
        <v>-2396.1356143651929</v>
      </c>
      <c r="I101" s="12">
        <f t="shared" si="8"/>
        <v>14880.886790951243</v>
      </c>
      <c r="J101" s="12">
        <f t="shared" si="9"/>
        <v>-2396.1356143651929</v>
      </c>
    </row>
    <row r="102" spans="1:10" x14ac:dyDescent="0.25">
      <c r="A102">
        <v>1.009999275</v>
      </c>
      <c r="B102">
        <v>3917.2023196322298</v>
      </c>
      <c r="C102">
        <v>-2298.4133441638737</v>
      </c>
      <c r="E102">
        <f t="shared" si="5"/>
        <v>-6301.7211407754339</v>
      </c>
      <c r="F102">
        <f t="shared" si="6"/>
        <v>17313.836537980351</v>
      </c>
      <c r="H102" s="12">
        <f t="shared" si="7"/>
        <v>-2384.5188211432041</v>
      </c>
      <c r="I102" s="12">
        <f t="shared" si="8"/>
        <v>15015.423193816478</v>
      </c>
      <c r="J102" s="12">
        <f t="shared" si="9"/>
        <v>-2384.5188211432041</v>
      </c>
    </row>
    <row r="103" spans="1:10" x14ac:dyDescent="0.25">
      <c r="A103">
        <v>1.0199991470000001</v>
      </c>
      <c r="B103">
        <v>3992.3920761093896</v>
      </c>
      <c r="C103">
        <v>-2338.5782353784857</v>
      </c>
      <c r="E103">
        <f t="shared" si="5"/>
        <v>-6365.3748896721554</v>
      </c>
      <c r="F103">
        <f t="shared" si="6"/>
        <v>17488.72377573773</v>
      </c>
      <c r="H103" s="12">
        <f t="shared" si="7"/>
        <v>-2372.9828135627658</v>
      </c>
      <c r="I103" s="12">
        <f t="shared" si="8"/>
        <v>15150.145540359244</v>
      </c>
      <c r="J103" s="12">
        <f t="shared" si="9"/>
        <v>-2372.9828135627658</v>
      </c>
    </row>
    <row r="104" spans="1:10" x14ac:dyDescent="0.25">
      <c r="A104">
        <v>1.029999018</v>
      </c>
      <c r="B104">
        <v>4066.5037034315496</v>
      </c>
      <c r="C104">
        <v>-2378.4519601349475</v>
      </c>
      <c r="E104">
        <f t="shared" si="5"/>
        <v>-6429.0286385688769</v>
      </c>
      <c r="F104">
        <f t="shared" si="6"/>
        <v>17663.611013495109</v>
      </c>
      <c r="H104" s="12">
        <f t="shared" si="7"/>
        <v>-2362.5249351373272</v>
      </c>
      <c r="I104" s="12">
        <f t="shared" si="8"/>
        <v>15285.159053360161</v>
      </c>
      <c r="J104" s="12">
        <f t="shared" si="9"/>
        <v>-2362.5249351373272</v>
      </c>
    </row>
    <row r="105" spans="1:10" x14ac:dyDescent="0.25">
      <c r="A105">
        <v>1.039999366</v>
      </c>
      <c r="B105">
        <v>4138.8071663252094</v>
      </c>
      <c r="C105">
        <v>-2418.0208908728596</v>
      </c>
      <c r="E105">
        <f t="shared" si="5"/>
        <v>-6492.6823874655984</v>
      </c>
      <c r="F105">
        <f t="shared" si="6"/>
        <v>17838.498251252488</v>
      </c>
      <c r="H105" s="12">
        <f t="shared" si="7"/>
        <v>-2353.8752211403889</v>
      </c>
      <c r="I105" s="12">
        <f t="shared" si="8"/>
        <v>15420.477360379627</v>
      </c>
      <c r="J105" s="12">
        <f t="shared" si="9"/>
        <v>-2353.8752211403889</v>
      </c>
    </row>
    <row r="106" spans="1:10" x14ac:dyDescent="0.25">
      <c r="A106">
        <v>1.049999237</v>
      </c>
      <c r="B106">
        <v>4209.5968784500692</v>
      </c>
      <c r="C106">
        <v>-2457.4114893781239</v>
      </c>
      <c r="E106">
        <f t="shared" si="5"/>
        <v>-6556.3361363623198</v>
      </c>
      <c r="F106">
        <f t="shared" si="6"/>
        <v>18013.385489009866</v>
      </c>
      <c r="H106" s="12">
        <f t="shared" si="7"/>
        <v>-2346.7392579122507</v>
      </c>
      <c r="I106" s="12">
        <f t="shared" si="8"/>
        <v>15555.973999631742</v>
      </c>
      <c r="J106" s="12">
        <f t="shared" si="9"/>
        <v>-2346.7392579122507</v>
      </c>
    </row>
    <row r="107" spans="1:10" x14ac:dyDescent="0.25">
      <c r="A107">
        <v>1.059999108</v>
      </c>
      <c r="B107">
        <v>4280.0689279773296</v>
      </c>
      <c r="C107">
        <v>-2496.8767148243182</v>
      </c>
      <c r="E107">
        <f t="shared" si="5"/>
        <v>-6619.9898852590413</v>
      </c>
      <c r="F107">
        <f t="shared" si="6"/>
        <v>18188.272726767245</v>
      </c>
      <c r="H107" s="12">
        <f t="shared" si="7"/>
        <v>-2339.9209572817117</v>
      </c>
      <c r="I107" s="12">
        <f t="shared" si="8"/>
        <v>15691.396011942927</v>
      </c>
      <c r="J107" s="12">
        <f t="shared" si="9"/>
        <v>-2339.9209572817117</v>
      </c>
    </row>
    <row r="108" spans="1:10" x14ac:dyDescent="0.25">
      <c r="A108">
        <v>1.06999898</v>
      </c>
      <c r="B108">
        <v>4351.4041462667892</v>
      </c>
      <c r="C108">
        <v>-2536.6405855097901</v>
      </c>
      <c r="E108">
        <f t="shared" si="5"/>
        <v>-6683.6436341557628</v>
      </c>
      <c r="F108">
        <f t="shared" si="6"/>
        <v>18363.159964524624</v>
      </c>
      <c r="H108" s="12">
        <f t="shared" si="7"/>
        <v>-2332.2394878889736</v>
      </c>
      <c r="I108" s="12">
        <f t="shared" si="8"/>
        <v>15826.519379014833</v>
      </c>
      <c r="J108" s="12">
        <f t="shared" si="9"/>
        <v>-2332.2394878889736</v>
      </c>
    </row>
    <row r="109" spans="1:10" x14ac:dyDescent="0.25">
      <c r="A109">
        <v>1.079999328</v>
      </c>
      <c r="B109">
        <v>4424.2159235162489</v>
      </c>
      <c r="C109">
        <v>-2576.7296973055122</v>
      </c>
      <c r="E109">
        <f t="shared" si="5"/>
        <v>-6747.2973830524843</v>
      </c>
      <c r="F109">
        <f t="shared" si="6"/>
        <v>18538.047202282003</v>
      </c>
      <c r="H109" s="12">
        <f t="shared" si="7"/>
        <v>-2323.0814595362353</v>
      </c>
      <c r="I109" s="12">
        <f t="shared" si="8"/>
        <v>15961.31750497649</v>
      </c>
      <c r="J109" s="12">
        <f t="shared" si="9"/>
        <v>-2323.0814595362353</v>
      </c>
    </row>
    <row r="110" spans="1:10" x14ac:dyDescent="0.25">
      <c r="A110">
        <v>1.089999199</v>
      </c>
      <c r="B110">
        <v>4498.787089193459</v>
      </c>
      <c r="C110">
        <v>-2617.0146984704443</v>
      </c>
      <c r="E110">
        <f t="shared" si="5"/>
        <v>-6810.9511319492058</v>
      </c>
      <c r="F110">
        <f t="shared" si="6"/>
        <v>18712.934440039382</v>
      </c>
      <c r="H110" s="12">
        <f t="shared" si="7"/>
        <v>-2312.1640427557468</v>
      </c>
      <c r="I110" s="12">
        <f t="shared" si="8"/>
        <v>16095.919741568938</v>
      </c>
      <c r="J110" s="12">
        <f t="shared" si="9"/>
        <v>-2312.1640427557468</v>
      </c>
    </row>
    <row r="111" spans="1:10" x14ac:dyDescent="0.25">
      <c r="A111">
        <v>1.09999907</v>
      </c>
      <c r="B111">
        <v>4575.1630236206693</v>
      </c>
      <c r="C111">
        <v>-2657.3886477265037</v>
      </c>
      <c r="E111">
        <f t="shared" si="5"/>
        <v>-6874.6048808459273</v>
      </c>
      <c r="F111">
        <f t="shared" si="6"/>
        <v>18887.821677796761</v>
      </c>
      <c r="H111" s="12">
        <f t="shared" si="7"/>
        <v>-2299.441857225258</v>
      </c>
      <c r="I111" s="12">
        <f t="shared" si="8"/>
        <v>16230.433030070257</v>
      </c>
      <c r="J111" s="12">
        <f t="shared" si="9"/>
        <v>-2299.441857225258</v>
      </c>
    </row>
    <row r="112" spans="1:10" x14ac:dyDescent="0.25">
      <c r="A112">
        <v>1.109998941</v>
      </c>
      <c r="B112">
        <v>4652.6364870762545</v>
      </c>
      <c r="C112">
        <v>-2697.7954936546207</v>
      </c>
      <c r="E112">
        <f t="shared" si="5"/>
        <v>-6938.2586297426487</v>
      </c>
      <c r="F112">
        <f t="shared" si="6"/>
        <v>19062.70891555414</v>
      </c>
      <c r="H112" s="12">
        <f t="shared" si="7"/>
        <v>-2285.6221426663942</v>
      </c>
      <c r="I112" s="12">
        <f t="shared" si="8"/>
        <v>16364.913421899519</v>
      </c>
      <c r="J112" s="12">
        <f t="shared" si="9"/>
        <v>-2285.6221426663942</v>
      </c>
    </row>
    <row r="113" spans="1:10" x14ac:dyDescent="0.25">
      <c r="A113">
        <v>1.11999929</v>
      </c>
      <c r="B113">
        <v>4729.7968190378397</v>
      </c>
      <c r="C113">
        <v>-2738.1685430098601</v>
      </c>
      <c r="E113">
        <f t="shared" si="5"/>
        <v>-7001.9123786393702</v>
      </c>
      <c r="F113">
        <f t="shared" si="6"/>
        <v>19237.596153311519</v>
      </c>
      <c r="H113" s="12">
        <f t="shared" si="7"/>
        <v>-2272.1155596015305</v>
      </c>
      <c r="I113" s="12">
        <f t="shared" si="8"/>
        <v>16499.42761030166</v>
      </c>
      <c r="J113" s="12">
        <f t="shared" si="9"/>
        <v>-2272.1155596015305</v>
      </c>
    </row>
    <row r="114" spans="1:10" x14ac:dyDescent="0.25">
      <c r="A114">
        <v>1.129999161</v>
      </c>
      <c r="B114">
        <v>4805.7091507555497</v>
      </c>
      <c r="C114">
        <v>-2778.5149662420572</v>
      </c>
      <c r="E114">
        <f t="shared" si="5"/>
        <v>-7065.5661275360917</v>
      </c>
      <c r="F114">
        <f t="shared" si="6"/>
        <v>19412.483391068898</v>
      </c>
      <c r="H114" s="12">
        <f t="shared" si="7"/>
        <v>-2259.856976780542</v>
      </c>
      <c r="I114" s="12">
        <f t="shared" si="8"/>
        <v>16633.968424826839</v>
      </c>
      <c r="J114" s="12">
        <f t="shared" si="9"/>
        <v>-2259.856976780542</v>
      </c>
    </row>
    <row r="115" spans="1:10" x14ac:dyDescent="0.25">
      <c r="A115">
        <v>1.139999032</v>
      </c>
      <c r="B115">
        <v>4880.5571568265095</v>
      </c>
      <c r="C115">
        <v>-2818.9251121732391</v>
      </c>
      <c r="E115">
        <f t="shared" si="5"/>
        <v>-7129.2198764328132</v>
      </c>
      <c r="F115">
        <f t="shared" si="6"/>
        <v>19587.370628826277</v>
      </c>
      <c r="H115" s="12">
        <f t="shared" si="7"/>
        <v>-2248.6627196063037</v>
      </c>
      <c r="I115" s="12">
        <f t="shared" si="8"/>
        <v>16768.445516653039</v>
      </c>
      <c r="J115" s="12">
        <f t="shared" si="9"/>
        <v>-2248.6627196063037</v>
      </c>
    </row>
    <row r="116" spans="1:10" x14ac:dyDescent="0.25">
      <c r="A116">
        <v>1.149998903</v>
      </c>
      <c r="B116">
        <v>4954.8325468818948</v>
      </c>
      <c r="C116">
        <v>-2859.3609932118411</v>
      </c>
      <c r="E116">
        <f t="shared" si="5"/>
        <v>-7192.8736253295347</v>
      </c>
      <c r="F116">
        <f t="shared" si="6"/>
        <v>19762.257866583655</v>
      </c>
      <c r="H116" s="12">
        <f t="shared" si="7"/>
        <v>-2238.0410784476398</v>
      </c>
      <c r="I116" s="12">
        <f t="shared" si="8"/>
        <v>16902.896873371814</v>
      </c>
      <c r="J116" s="12">
        <f t="shared" si="9"/>
        <v>-2238.0410784476398</v>
      </c>
    </row>
    <row r="117" spans="1:10" x14ac:dyDescent="0.25">
      <c r="A117">
        <v>1.1599992509999999</v>
      </c>
      <c r="B117">
        <v>5028.8444274646299</v>
      </c>
      <c r="C117">
        <v>-2899.6471284603281</v>
      </c>
      <c r="E117">
        <f t="shared" si="5"/>
        <v>-7256.5273742262561</v>
      </c>
      <c r="F117">
        <f t="shared" si="6"/>
        <v>19937.145104341034</v>
      </c>
      <c r="H117" s="12">
        <f t="shared" si="7"/>
        <v>-2227.6829467616262</v>
      </c>
      <c r="I117" s="12">
        <f t="shared" si="8"/>
        <v>17037.497975880706</v>
      </c>
      <c r="J117" s="12">
        <f t="shared" si="9"/>
        <v>-2227.6829467616262</v>
      </c>
    </row>
    <row r="118" spans="1:10" x14ac:dyDescent="0.25">
      <c r="A118">
        <v>1.169999123</v>
      </c>
      <c r="B118">
        <v>5103.3719375152896</v>
      </c>
      <c r="C118">
        <v>-2939.746535569122</v>
      </c>
      <c r="E118">
        <f t="shared" si="5"/>
        <v>-7320.1811231229776</v>
      </c>
      <c r="F118">
        <f t="shared" si="6"/>
        <v>20112.032342098413</v>
      </c>
      <c r="H118" s="12">
        <f t="shared" si="7"/>
        <v>-2216.8091856076881</v>
      </c>
      <c r="I118" s="12">
        <f t="shared" si="8"/>
        <v>17172.285806529289</v>
      </c>
      <c r="J118" s="12">
        <f t="shared" si="9"/>
        <v>-2216.8091856076881</v>
      </c>
    </row>
    <row r="119" spans="1:10" x14ac:dyDescent="0.25">
      <c r="A119">
        <v>1.179998994</v>
      </c>
      <c r="B119">
        <v>5179.5389464064492</v>
      </c>
      <c r="C119">
        <v>-2979.8304514742294</v>
      </c>
      <c r="E119">
        <f t="shared" si="5"/>
        <v>-7383.8348720196991</v>
      </c>
      <c r="F119">
        <f t="shared" si="6"/>
        <v>20286.919579855792</v>
      </c>
      <c r="H119" s="12">
        <f t="shared" si="7"/>
        <v>-2204.2959256132499</v>
      </c>
      <c r="I119" s="12">
        <f t="shared" si="8"/>
        <v>17307.089128381562</v>
      </c>
      <c r="J119" s="12">
        <f t="shared" si="9"/>
        <v>-2204.2959256132499</v>
      </c>
    </row>
    <row r="120" spans="1:10" x14ac:dyDescent="0.25">
      <c r="A120">
        <v>1.189998865</v>
      </c>
      <c r="B120">
        <v>5257.4630177609342</v>
      </c>
      <c r="C120">
        <v>-3020.0871575685183</v>
      </c>
      <c r="E120">
        <f t="shared" si="5"/>
        <v>-7447.4886209164206</v>
      </c>
      <c r="F120">
        <f t="shared" si="6"/>
        <v>20461.806817613171</v>
      </c>
      <c r="H120" s="12">
        <f t="shared" si="7"/>
        <v>-2190.0256031554864</v>
      </c>
      <c r="I120" s="12">
        <f t="shared" si="8"/>
        <v>17441.719660044651</v>
      </c>
      <c r="J120" s="12">
        <f t="shared" si="9"/>
        <v>-2190.0256031554864</v>
      </c>
    </row>
    <row r="121" spans="1:10" x14ac:dyDescent="0.25">
      <c r="A121">
        <v>1.1999992129999999</v>
      </c>
      <c r="B121">
        <v>5336.0801774942438</v>
      </c>
      <c r="C121">
        <v>-3060.6656012238573</v>
      </c>
      <c r="E121">
        <f t="shared" si="5"/>
        <v>-7511.1423698131421</v>
      </c>
      <c r="F121">
        <f t="shared" si="6"/>
        <v>20636.69405537055</v>
      </c>
      <c r="H121" s="12">
        <f t="shared" si="7"/>
        <v>-2175.0621923188983</v>
      </c>
      <c r="I121" s="12">
        <f t="shared" si="8"/>
        <v>17576.028454146694</v>
      </c>
      <c r="J121" s="12">
        <f t="shared" si="9"/>
        <v>-2175.0621923188983</v>
      </c>
    </row>
    <row r="122" spans="1:10" x14ac:dyDescent="0.25">
      <c r="A122">
        <v>1.209999085</v>
      </c>
      <c r="B122">
        <v>5414.6544054953793</v>
      </c>
      <c r="C122">
        <v>-3101.7009840759711</v>
      </c>
      <c r="E122">
        <f t="shared" si="5"/>
        <v>-7574.7961187098635</v>
      </c>
      <c r="F122">
        <f t="shared" si="6"/>
        <v>20811.581293127929</v>
      </c>
      <c r="H122" s="12">
        <f t="shared" si="7"/>
        <v>-2160.1417132144843</v>
      </c>
      <c r="I122" s="12">
        <f t="shared" si="8"/>
        <v>17709.880309051958</v>
      </c>
      <c r="J122" s="12">
        <f t="shared" si="9"/>
        <v>-2160.1417132144843</v>
      </c>
    </row>
    <row r="123" spans="1:10" x14ac:dyDescent="0.25">
      <c r="A123">
        <v>1.219998956</v>
      </c>
      <c r="B123">
        <v>5493.3917300785397</v>
      </c>
      <c r="C123">
        <v>-3143.1264825339945</v>
      </c>
      <c r="E123">
        <f t="shared" si="5"/>
        <v>-7638.449867606585</v>
      </c>
      <c r="F123">
        <f t="shared" si="6"/>
        <v>20986.468530885308</v>
      </c>
      <c r="H123" s="12">
        <f t="shared" si="7"/>
        <v>-2145.0581375280453</v>
      </c>
      <c r="I123" s="12">
        <f t="shared" si="8"/>
        <v>17843.342048351315</v>
      </c>
      <c r="J123" s="12">
        <f t="shared" si="9"/>
        <v>-2145.0581375280453</v>
      </c>
    </row>
    <row r="124" spans="1:10" x14ac:dyDescent="0.25">
      <c r="A124">
        <v>1.229998827</v>
      </c>
      <c r="B124">
        <v>5572.3535546189496</v>
      </c>
      <c r="C124">
        <v>-3184.5506478850111</v>
      </c>
      <c r="E124">
        <f t="shared" si="5"/>
        <v>-7702.1036165033065</v>
      </c>
      <c r="F124">
        <f t="shared" si="6"/>
        <v>21161.355768642687</v>
      </c>
      <c r="H124" s="12">
        <f t="shared" si="7"/>
        <v>-2129.7500618843569</v>
      </c>
      <c r="I124" s="12">
        <f t="shared" si="8"/>
        <v>17976.805120757675</v>
      </c>
      <c r="J124" s="12">
        <f t="shared" si="9"/>
        <v>-2129.7500618843569</v>
      </c>
    </row>
    <row r="125" spans="1:10" x14ac:dyDescent="0.25">
      <c r="A125">
        <v>1.2399991749999999</v>
      </c>
      <c r="B125">
        <v>5650.85681840491</v>
      </c>
      <c r="C125">
        <v>-3225.571145199362</v>
      </c>
      <c r="E125">
        <f t="shared" si="5"/>
        <v>-7765.757365400028</v>
      </c>
      <c r="F125">
        <f t="shared" si="6"/>
        <v>21336.243006400065</v>
      </c>
      <c r="H125" s="12">
        <f t="shared" si="7"/>
        <v>-2114.900546995118</v>
      </c>
      <c r="I125" s="12">
        <f t="shared" si="8"/>
        <v>18110.671861200703</v>
      </c>
      <c r="J125" s="12">
        <f t="shared" si="9"/>
        <v>-2114.900546995118</v>
      </c>
    </row>
    <row r="126" spans="1:10" x14ac:dyDescent="0.25">
      <c r="A126">
        <v>1.2499990459999999</v>
      </c>
      <c r="B126">
        <v>5728.2630355721203</v>
      </c>
      <c r="C126">
        <v>-3266.1466597774879</v>
      </c>
      <c r="E126">
        <f t="shared" si="5"/>
        <v>-7829.4111142967495</v>
      </c>
      <c r="F126">
        <f t="shared" si="6"/>
        <v>21511.130244157444</v>
      </c>
      <c r="H126" s="12">
        <f t="shared" si="7"/>
        <v>-2101.1480787246292</v>
      </c>
      <c r="I126" s="12">
        <f t="shared" si="8"/>
        <v>18244.983584379956</v>
      </c>
      <c r="J126" s="12">
        <f t="shared" si="9"/>
        <v>-2101.1480787246292</v>
      </c>
    </row>
    <row r="127" spans="1:10" x14ac:dyDescent="0.25">
      <c r="A127">
        <v>1.259998918</v>
      </c>
      <c r="B127">
        <v>5804.7226695116806</v>
      </c>
      <c r="C127">
        <v>-3306.5496077784637</v>
      </c>
      <c r="E127">
        <f t="shared" si="5"/>
        <v>-7893.064863193471</v>
      </c>
      <c r="F127">
        <f t="shared" si="6"/>
        <v>21686.017481914823</v>
      </c>
      <c r="H127" s="12">
        <f t="shared" si="7"/>
        <v>-2088.3421936817904</v>
      </c>
      <c r="I127" s="12">
        <f t="shared" si="8"/>
        <v>18379.46787413636</v>
      </c>
      <c r="J127" s="12">
        <f t="shared" si="9"/>
        <v>-2088.3421936817904</v>
      </c>
    </row>
    <row r="128" spans="1:10" x14ac:dyDescent="0.25">
      <c r="A128">
        <v>1.269998789</v>
      </c>
      <c r="B128">
        <v>5881.0814319424408</v>
      </c>
      <c r="C128">
        <v>-3347.0846008020399</v>
      </c>
      <c r="E128">
        <f t="shared" si="5"/>
        <v>-7956.7186120901924</v>
      </c>
      <c r="F128">
        <f t="shared" si="6"/>
        <v>21860.904719672202</v>
      </c>
      <c r="H128" s="12">
        <f t="shared" si="7"/>
        <v>-2075.6371801477517</v>
      </c>
      <c r="I128" s="12">
        <f t="shared" si="8"/>
        <v>18513.820118870164</v>
      </c>
      <c r="J128" s="12">
        <f t="shared" si="9"/>
        <v>-2075.6371801477517</v>
      </c>
    </row>
    <row r="129" spans="1:10" x14ac:dyDescent="0.25">
      <c r="A129">
        <v>1.2799991369999999</v>
      </c>
      <c r="B129">
        <v>5958.3504015023009</v>
      </c>
      <c r="C129">
        <v>-3387.9213325951659</v>
      </c>
      <c r="E129">
        <f t="shared" si="5"/>
        <v>-8020.3723609869139</v>
      </c>
      <c r="F129">
        <f t="shared" si="6"/>
        <v>22035.791957429581</v>
      </c>
      <c r="H129" s="12">
        <f t="shared" si="7"/>
        <v>-2062.021959484613</v>
      </c>
      <c r="I129" s="12">
        <f t="shared" si="8"/>
        <v>18647.870624834417</v>
      </c>
      <c r="J129" s="12">
        <f t="shared" si="9"/>
        <v>-2062.021959484613</v>
      </c>
    </row>
    <row r="130" spans="1:10" x14ac:dyDescent="0.25">
      <c r="A130">
        <v>1.2899990079999999</v>
      </c>
      <c r="B130">
        <v>6037.0878703056605</v>
      </c>
      <c r="C130">
        <v>-3429.117731362192</v>
      </c>
      <c r="E130">
        <f t="shared" si="5"/>
        <v>-8084.0261098836354</v>
      </c>
      <c r="F130">
        <f t="shared" si="6"/>
        <v>22210.67919518696</v>
      </c>
      <c r="H130" s="12">
        <f t="shared" si="7"/>
        <v>-2046.9382395779749</v>
      </c>
      <c r="I130" s="12">
        <f t="shared" si="8"/>
        <v>18781.561463824768</v>
      </c>
      <c r="J130" s="12">
        <f t="shared" si="9"/>
        <v>-2046.9382395779749</v>
      </c>
    </row>
    <row r="131" spans="1:10" x14ac:dyDescent="0.25">
      <c r="A131">
        <v>1.2999988790000001</v>
      </c>
      <c r="B131">
        <v>6117.1272627664957</v>
      </c>
      <c r="C131">
        <v>-3470.6908472618179</v>
      </c>
      <c r="E131">
        <f t="shared" si="5"/>
        <v>-8147.6798587803569</v>
      </c>
      <c r="F131">
        <f t="shared" si="6"/>
        <v>22385.566432944339</v>
      </c>
      <c r="H131" s="12">
        <f t="shared" si="7"/>
        <v>-2030.5525960138611</v>
      </c>
      <c r="I131" s="12">
        <f t="shared" si="8"/>
        <v>18914.875585682523</v>
      </c>
      <c r="J131" s="12">
        <f t="shared" si="9"/>
        <v>-2030.5525960138611</v>
      </c>
    </row>
    <row r="132" spans="1:10" x14ac:dyDescent="0.25">
      <c r="A132">
        <v>1.309998751</v>
      </c>
      <c r="B132">
        <v>6197.9318716946809</v>
      </c>
      <c r="C132">
        <v>-3512.4971306510938</v>
      </c>
      <c r="E132">
        <f t="shared" si="5"/>
        <v>-8211.3336076770793</v>
      </c>
      <c r="F132">
        <f t="shared" si="6"/>
        <v>22560.453670701718</v>
      </c>
      <c r="H132" s="12">
        <f t="shared" si="7"/>
        <v>-2013.4017359823983</v>
      </c>
      <c r="I132" s="12">
        <f t="shared" si="8"/>
        <v>19047.956540050625</v>
      </c>
      <c r="J132" s="12">
        <f t="shared" si="9"/>
        <v>-2013.4017359823983</v>
      </c>
    </row>
    <row r="133" spans="1:10" x14ac:dyDescent="0.25">
      <c r="A133">
        <v>1.3199990989999999</v>
      </c>
      <c r="B133">
        <v>6279.016921678166</v>
      </c>
      <c r="C133">
        <v>-3554.1412999839949</v>
      </c>
      <c r="E133">
        <f t="shared" ref="E133" si="10">E132+$I$1*0.01</f>
        <v>-8274.9873565738017</v>
      </c>
      <c r="F133">
        <f t="shared" ref="F133" si="11">F132+$K$1*0.01</f>
        <v>22735.340908459097</v>
      </c>
      <c r="H133" s="12">
        <f t="shared" ref="H133:I133" si="12">B133+E133</f>
        <v>-1995.9704348956357</v>
      </c>
      <c r="I133" s="12">
        <f t="shared" si="12"/>
        <v>19181.199608475101</v>
      </c>
      <c r="J133" s="12">
        <f t="shared" ref="J133" si="13">H133</f>
        <v>-1995.9704348956357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tabColor rgb="FFFFFF00"/>
  </sheetPr>
  <dimension ref="A4"/>
  <sheetViews>
    <sheetView workbookViewId="0">
      <selection activeCell="D26" sqref="D26"/>
    </sheetView>
  </sheetViews>
  <sheetFormatPr defaultRowHeight="15" x14ac:dyDescent="0.25"/>
  <sheetData>
    <row r="4" spans="1:1" x14ac:dyDescent="0.25">
      <c r="A4">
        <v>555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5121" r:id="rId4">
          <objectPr defaultSize="0" r:id="rId5">
            <anchor moveWithCells="1">
              <from>
                <xdr:col>12</xdr:col>
                <xdr:colOff>0</xdr:colOff>
                <xdr:row>10</xdr:row>
                <xdr:rowOff>0</xdr:rowOff>
              </from>
              <to>
                <xdr:col>12</xdr:col>
                <xdr:colOff>114300</xdr:colOff>
                <xdr:row>10</xdr:row>
                <xdr:rowOff>180975</xdr:rowOff>
              </to>
            </anchor>
          </objectPr>
        </oleObject>
      </mc:Choice>
      <mc:Fallback>
        <oleObject progId="Equation.DSMT4" shapeId="512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Group Box 2">
              <controlPr defaultSize="0" autoFill="0" autoPict="0">
                <anchor moveWithCells="1">
                  <from>
                    <xdr:col>10</xdr:col>
                    <xdr:colOff>38100</xdr:colOff>
                    <xdr:row>15</xdr:row>
                    <xdr:rowOff>9525</xdr:rowOff>
                  </from>
                  <to>
                    <xdr:col>17</xdr:col>
                    <xdr:colOff>285750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Group Box 3">
              <controlPr defaultSize="0" autoFill="0" autoPict="0">
                <anchor moveWithCells="1">
                  <from>
                    <xdr:col>11</xdr:col>
                    <xdr:colOff>409575</xdr:colOff>
                    <xdr:row>20</xdr:row>
                    <xdr:rowOff>133350</xdr:rowOff>
                  </from>
                  <to>
                    <xdr:col>15</xdr:col>
                    <xdr:colOff>323850</xdr:colOff>
                    <xdr:row>24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4" tint="0.59999389629810485"/>
  </sheetPr>
  <dimension ref="A12:O22"/>
  <sheetViews>
    <sheetView zoomScale="190" zoomScaleNormal="190" workbookViewId="0">
      <selection activeCell="E19" sqref="E19"/>
    </sheetView>
  </sheetViews>
  <sheetFormatPr defaultRowHeight="15" x14ac:dyDescent="0.25"/>
  <cols>
    <col min="1" max="1" width="9.85546875" customWidth="1"/>
  </cols>
  <sheetData>
    <row r="12" spans="1:15" ht="15.75" thickBot="1" x14ac:dyDescent="0.3"/>
    <row r="13" spans="1:15" ht="15" customHeight="1" x14ac:dyDescent="0.25">
      <c r="A13" s="57" t="s">
        <v>15</v>
      </c>
      <c r="B13" s="58"/>
      <c r="C13" s="59"/>
      <c r="D13" s="57" t="s">
        <v>16</v>
      </c>
      <c r="E13" s="58"/>
      <c r="F13" s="59"/>
      <c r="G13" s="57" t="s">
        <v>22</v>
      </c>
      <c r="H13" s="58"/>
      <c r="I13" s="59"/>
      <c r="J13" s="57" t="s">
        <v>19</v>
      </c>
      <c r="K13" s="58"/>
      <c r="L13" s="59"/>
      <c r="M13" s="69"/>
      <c r="N13" s="58"/>
      <c r="O13" s="59"/>
    </row>
    <row r="14" spans="1:15" ht="15.75" thickBot="1" x14ac:dyDescent="0.3">
      <c r="A14" s="60"/>
      <c r="B14" s="61"/>
      <c r="C14" s="62"/>
      <c r="D14" s="60"/>
      <c r="E14" s="61"/>
      <c r="F14" s="62"/>
      <c r="G14" s="60"/>
      <c r="H14" s="61"/>
      <c r="I14" s="62"/>
      <c r="J14" s="60"/>
      <c r="K14" s="61"/>
      <c r="L14" s="62"/>
      <c r="M14" s="60"/>
      <c r="N14" s="70"/>
      <c r="O14" s="62"/>
    </row>
    <row r="15" spans="1:15" ht="15.75" thickBot="1" x14ac:dyDescent="0.3">
      <c r="A15" s="16"/>
      <c r="B15" s="25">
        <v>2</v>
      </c>
      <c r="C15" s="18" t="s">
        <v>18</v>
      </c>
      <c r="D15" s="16"/>
      <c r="E15" s="25">
        <v>3</v>
      </c>
      <c r="F15" s="18" t="s">
        <v>18</v>
      </c>
      <c r="G15" s="16"/>
      <c r="H15" s="25">
        <v>4</v>
      </c>
      <c r="I15" s="18" t="s">
        <v>18</v>
      </c>
      <c r="J15" s="16"/>
      <c r="K15" s="25">
        <v>2</v>
      </c>
      <c r="L15" s="18" t="s">
        <v>18</v>
      </c>
      <c r="M15" s="16"/>
      <c r="N15" s="25">
        <v>20</v>
      </c>
      <c r="O15" s="18" t="s">
        <v>17</v>
      </c>
    </row>
    <row r="16" spans="1:15" ht="5.25" customHeight="1" thickBot="1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1:15" x14ac:dyDescent="0.25">
      <c r="A17" s="57"/>
      <c r="B17" s="58"/>
      <c r="C17" s="59"/>
      <c r="D17" s="57"/>
      <c r="E17" s="58"/>
      <c r="F17" s="59"/>
      <c r="G17" s="57"/>
      <c r="H17" s="58"/>
      <c r="I17" s="59"/>
      <c r="J17" s="63" t="s">
        <v>20</v>
      </c>
      <c r="K17" s="64"/>
      <c r="L17" s="65"/>
      <c r="M17" s="63" t="s">
        <v>20</v>
      </c>
      <c r="N17" s="64"/>
      <c r="O17" s="65"/>
    </row>
    <row r="18" spans="1:15" ht="15.75" thickBot="1" x14ac:dyDescent="0.3">
      <c r="A18" s="60"/>
      <c r="B18" s="61"/>
      <c r="C18" s="62"/>
      <c r="D18" s="60"/>
      <c r="E18" s="61"/>
      <c r="F18" s="62"/>
      <c r="G18" s="60"/>
      <c r="H18" s="61"/>
      <c r="I18" s="62"/>
      <c r="J18" s="66"/>
      <c r="K18" s="67"/>
      <c r="L18" s="68"/>
      <c r="M18" s="66"/>
      <c r="N18" s="67"/>
      <c r="O18" s="68"/>
    </row>
    <row r="19" spans="1:15" ht="15.75" thickBot="1" x14ac:dyDescent="0.3">
      <c r="A19" s="16"/>
      <c r="B19" s="25">
        <v>67</v>
      </c>
      <c r="C19" s="18"/>
      <c r="D19" s="16"/>
      <c r="E19" s="17">
        <f>DEGREES(ATAN(($K$15/2)/($B$15+$H$15)))</f>
        <v>9.4623222080256166</v>
      </c>
      <c r="F19" s="18" t="s">
        <v>17</v>
      </c>
      <c r="G19" s="16"/>
      <c r="H19" s="17">
        <f>DEGREES(ATAN(($K$15/2)/$E$15))</f>
        <v>18.43494882292201</v>
      </c>
      <c r="I19" s="18" t="s">
        <v>17</v>
      </c>
      <c r="J19" s="19" t="s">
        <v>0</v>
      </c>
      <c r="K19" s="17">
        <f>($B$19/3.6)*COS(RADIANS($N$15))</f>
        <v>17.488723775737739</v>
      </c>
      <c r="L19" s="18" t="s">
        <v>23</v>
      </c>
      <c r="M19" s="19" t="s">
        <v>1</v>
      </c>
      <c r="N19" s="17">
        <f>-($B$19/3.6)*SIN(RADIANS($N$15))</f>
        <v>-6.3653748896721671</v>
      </c>
      <c r="O19" s="18" t="s">
        <v>23</v>
      </c>
    </row>
    <row r="20" spans="1:15" ht="4.5" customHeight="1" thickBot="1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1:15" ht="15.75" thickBot="1" x14ac:dyDescent="0.3">
      <c r="A21" s="20" t="s">
        <v>21</v>
      </c>
      <c r="B21" s="21"/>
      <c r="C21" s="21"/>
      <c r="D21" s="21"/>
      <c r="E21" s="21"/>
      <c r="F21" s="21"/>
      <c r="G21" s="22">
        <v>0</v>
      </c>
      <c r="H21" s="21" t="s">
        <v>18</v>
      </c>
      <c r="I21" s="21"/>
      <c r="J21" s="21"/>
      <c r="K21" s="21"/>
      <c r="L21" s="21"/>
      <c r="M21" s="22">
        <f>$B$15*COS(RADIANS($N$15))</f>
        <v>1.8793852415718169</v>
      </c>
      <c r="N21" s="21" t="s">
        <v>18</v>
      </c>
      <c r="O21" s="23"/>
    </row>
    <row r="22" spans="1:15" ht="15.75" thickBot="1" x14ac:dyDescent="0.3">
      <c r="A22" s="16"/>
      <c r="B22" s="24"/>
      <c r="C22" s="24"/>
      <c r="D22" s="24"/>
      <c r="E22" s="24"/>
      <c r="F22" s="24"/>
      <c r="G22" s="17">
        <f>(B15+$H$15)*SIN(RADIANS($N$15))+($K$15/2)*COS(RADIANS($N$15))</f>
        <v>2.9918134807399208</v>
      </c>
      <c r="H22" s="24" t="s">
        <v>18</v>
      </c>
      <c r="I22" s="24"/>
      <c r="J22" s="24"/>
      <c r="K22" s="24"/>
      <c r="L22" s="24"/>
      <c r="M22" s="17">
        <f>$H$15*SIN(RADIANS($N$15))+($K$15/2)*COS(RADIANS($N$15))</f>
        <v>2.3077731940885835</v>
      </c>
      <c r="N22" s="24" t="s">
        <v>18</v>
      </c>
      <c r="O22" s="18"/>
    </row>
  </sheetData>
  <mergeCells count="10">
    <mergeCell ref="M13:O14"/>
    <mergeCell ref="A13:C14"/>
    <mergeCell ref="D13:F14"/>
    <mergeCell ref="G13:I14"/>
    <mergeCell ref="J13:L14"/>
    <mergeCell ref="A17:C18"/>
    <mergeCell ref="D17:F18"/>
    <mergeCell ref="G17:I18"/>
    <mergeCell ref="J17:L18"/>
    <mergeCell ref="M17:O1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A1:AC251"/>
  <sheetViews>
    <sheetView zoomScale="110" zoomScaleNormal="110" workbookViewId="0">
      <selection activeCell="M7" sqref="M7"/>
    </sheetView>
  </sheetViews>
  <sheetFormatPr defaultRowHeight="15" x14ac:dyDescent="0.25"/>
  <cols>
    <col min="3" max="3" width="1.85546875" customWidth="1"/>
    <col min="6" max="6" width="1.5703125" customWidth="1"/>
    <col min="9" max="9" width="1.7109375" customWidth="1"/>
    <col min="12" max="12" width="1.7109375" customWidth="1"/>
    <col min="21" max="21" width="1.7109375" customWidth="1"/>
  </cols>
  <sheetData>
    <row r="1" spans="1:29" ht="21" customHeight="1" x14ac:dyDescent="0.25">
      <c r="A1" s="32"/>
      <c r="B1" s="21"/>
      <c r="C1" s="21"/>
      <c r="D1" s="21"/>
      <c r="E1" s="21"/>
      <c r="F1" s="21"/>
      <c r="G1" s="21"/>
      <c r="H1" s="21"/>
      <c r="I1" s="21"/>
      <c r="J1" s="21"/>
      <c r="K1" s="23"/>
      <c r="M1" s="33" t="s">
        <v>29</v>
      </c>
      <c r="N1" s="21"/>
      <c r="O1" s="21"/>
      <c r="P1" s="21"/>
      <c r="Q1" s="21"/>
      <c r="R1" s="21"/>
      <c r="S1" s="21"/>
      <c r="T1" s="23"/>
      <c r="V1" s="33" t="s">
        <v>29</v>
      </c>
      <c r="W1" s="21"/>
      <c r="X1" s="21"/>
      <c r="Y1" s="21"/>
      <c r="Z1" s="21"/>
      <c r="AA1" s="21"/>
      <c r="AB1" s="21"/>
      <c r="AC1" s="23"/>
    </row>
    <row r="2" spans="1:29" x14ac:dyDescent="0.25">
      <c r="A2" s="73" t="s">
        <v>24</v>
      </c>
      <c r="B2" s="76"/>
      <c r="C2" s="76"/>
      <c r="D2" s="76"/>
      <c r="E2" s="76"/>
      <c r="F2" s="76"/>
      <c r="G2" s="76"/>
      <c r="H2" s="76"/>
      <c r="I2" s="76"/>
      <c r="J2" s="76"/>
      <c r="K2" s="77"/>
      <c r="M2" s="34" t="s">
        <v>29</v>
      </c>
      <c r="N2" s="31"/>
      <c r="O2" s="31"/>
      <c r="P2" s="31"/>
      <c r="Q2" s="31"/>
      <c r="R2" s="31"/>
      <c r="S2" s="31"/>
      <c r="T2" s="35"/>
      <c r="V2" s="34" t="s">
        <v>29</v>
      </c>
      <c r="W2" s="31"/>
      <c r="X2" s="31"/>
      <c r="Y2" s="31"/>
      <c r="Z2" s="31"/>
      <c r="AA2" s="31"/>
      <c r="AB2" s="31"/>
      <c r="AC2" s="35"/>
    </row>
    <row r="3" spans="1:29" ht="15.75" thickBot="1" x14ac:dyDescent="0.3">
      <c r="A3" s="78" t="s">
        <v>25</v>
      </c>
      <c r="B3" s="79"/>
      <c r="C3" s="79"/>
      <c r="D3" s="79"/>
      <c r="E3" s="24"/>
      <c r="F3" s="24"/>
      <c r="G3" s="29">
        <v>0.01</v>
      </c>
      <c r="H3" s="24" t="s">
        <v>33</v>
      </c>
      <c r="I3" s="24"/>
      <c r="J3" s="24"/>
      <c r="K3" s="18"/>
      <c r="M3" s="71" t="s">
        <v>30</v>
      </c>
      <c r="N3" s="31"/>
      <c r="O3" s="31"/>
      <c r="P3" s="31"/>
      <c r="Q3" s="31"/>
      <c r="R3" s="31"/>
      <c r="S3" s="31"/>
      <c r="T3" s="35"/>
      <c r="V3" s="71" t="s">
        <v>30</v>
      </c>
      <c r="W3" s="31"/>
      <c r="X3" s="31"/>
      <c r="Y3" s="31"/>
      <c r="Z3" s="31"/>
      <c r="AA3" s="31"/>
      <c r="AB3" s="31"/>
      <c r="AC3" s="35"/>
    </row>
    <row r="4" spans="1:29" s="1" customFormat="1" ht="15.75" thickBot="1" x14ac:dyDescent="0.3">
      <c r="A4" s="73" t="s">
        <v>27</v>
      </c>
      <c r="B4" s="74"/>
      <c r="C4" s="74"/>
      <c r="D4" s="74"/>
      <c r="E4" s="75"/>
      <c r="F4" s="27"/>
      <c r="G4" s="73" t="s">
        <v>28</v>
      </c>
      <c r="H4" s="74"/>
      <c r="I4" s="74"/>
      <c r="J4" s="74"/>
      <c r="K4" s="75"/>
      <c r="M4" s="72"/>
      <c r="N4" s="36"/>
      <c r="O4" s="36"/>
      <c r="P4" s="36"/>
      <c r="Q4" s="36"/>
      <c r="R4" s="36"/>
      <c r="S4" s="36"/>
      <c r="T4" s="37"/>
      <c r="V4" s="72"/>
      <c r="W4" s="36"/>
      <c r="X4" s="36"/>
      <c r="Y4" s="36"/>
      <c r="Z4" s="36"/>
      <c r="AA4" s="36"/>
      <c r="AB4" s="36"/>
      <c r="AC4" s="37"/>
    </row>
    <row r="5" spans="1:29" ht="15.75" thickBot="1" x14ac:dyDescent="0.3">
      <c r="A5" s="38" t="s">
        <v>26</v>
      </c>
      <c r="B5" s="39"/>
      <c r="C5" s="40"/>
      <c r="D5" s="41" t="s">
        <v>26</v>
      </c>
      <c r="E5" s="42"/>
      <c r="F5" s="28"/>
      <c r="G5" s="43" t="s">
        <v>26</v>
      </c>
      <c r="H5" s="44"/>
      <c r="I5" s="45"/>
      <c r="J5" s="46" t="s">
        <v>26</v>
      </c>
      <c r="K5" s="47"/>
      <c r="M5" s="38" t="s">
        <v>26</v>
      </c>
      <c r="N5" s="39"/>
      <c r="O5" s="39"/>
      <c r="P5" s="55" t="s">
        <v>34</v>
      </c>
      <c r="Q5" s="46" t="s">
        <v>26</v>
      </c>
      <c r="R5" s="44"/>
      <c r="S5" s="44"/>
      <c r="T5" s="56" t="s">
        <v>35</v>
      </c>
      <c r="V5" s="38" t="s">
        <v>26</v>
      </c>
      <c r="W5" s="39"/>
      <c r="X5" s="39"/>
      <c r="Y5" s="55" t="s">
        <v>35</v>
      </c>
      <c r="Z5" s="46" t="s">
        <v>26</v>
      </c>
      <c r="AA5" s="44"/>
      <c r="AB5" s="44"/>
      <c r="AC5" s="56" t="s">
        <v>35</v>
      </c>
    </row>
    <row r="6" spans="1:29" x14ac:dyDescent="0.25">
      <c r="A6" s="30">
        <v>2.999959E-2</v>
      </c>
      <c r="B6" s="30">
        <v>-10211.516600000001</v>
      </c>
      <c r="C6" s="26"/>
      <c r="D6" s="30">
        <v>2.999959E-2</v>
      </c>
      <c r="E6" s="30">
        <v>6393.421875</v>
      </c>
      <c r="F6" s="28"/>
      <c r="G6" s="30">
        <v>2.999959E-2</v>
      </c>
      <c r="H6" s="30">
        <v>-10211.516600000001</v>
      </c>
      <c r="I6" s="26"/>
      <c r="J6" s="30">
        <v>2.999959E-2</v>
      </c>
      <c r="K6" s="30">
        <v>6393.421875</v>
      </c>
      <c r="M6" s="30">
        <f>A6</f>
        <v>2.999959E-2</v>
      </c>
      <c r="N6" s="30">
        <f>N5+((B5+B6)/2)*$G$3</f>
        <v>-51.057583000000008</v>
      </c>
      <c r="O6" s="30">
        <f>O5+((N5+N6)/2)*$G$3</f>
        <v>-0.25528791500000003</v>
      </c>
      <c r="P6" s="30">
        <f>O6/1000+'Начальные условия и парам.'!$G$21+'Начальные условия и парам.'!$K$19*'аксел-ры 1 и 2 и интегр-ие  '!M6</f>
        <v>0.5243992549803842</v>
      </c>
      <c r="Q6" s="30">
        <f>A6</f>
        <v>2.999959E-2</v>
      </c>
      <c r="R6" s="30">
        <f>R5+((H6+H5)/2)*$G$3</f>
        <v>-51.057583000000008</v>
      </c>
      <c r="S6" s="30">
        <f>S5+((R5+R6)/2)*$G$3</f>
        <v>-0.25528791500000003</v>
      </c>
      <c r="T6" s="30">
        <f>S6/1000+'Начальные условия и парам.'!$M$21+'Начальные условия и парам.'!$K$19*'аксел-ры 1 и 2 и интегр-ие  '!Q6</f>
        <v>2.4037844965522011</v>
      </c>
      <c r="V6" s="30">
        <f>A6</f>
        <v>2.999959E-2</v>
      </c>
      <c r="W6" s="30">
        <f>W5+((E5+E6)/2)*$G$3</f>
        <v>31.967109375</v>
      </c>
      <c r="X6" s="30">
        <f>X5+((W5+W6)/2)*$G$3</f>
        <v>0.15983554687500001</v>
      </c>
      <c r="Y6" s="30">
        <f>X6/1000+'Начальные условия и парам.'!$G$22+'Начальные условия и парам.'!$N$19*'аксел-ры 1 и 2 и интегр-ие  '!V6</f>
        <v>2.8010146794003354</v>
      </c>
      <c r="Z6" s="30">
        <f>A6</f>
        <v>2.999959E-2</v>
      </c>
      <c r="AA6" s="30">
        <f>AA5+((K5+K6)/2)*$G$3</f>
        <v>31.967109375</v>
      </c>
      <c r="AB6" s="30">
        <f>AB5+((AA5+AA6)/2)*$G$3</f>
        <v>0.15983554687500001</v>
      </c>
      <c r="AC6" s="30">
        <f>AB6/1000+'Начальные условия и парам.'!$M$22+'Начальные условия и парам.'!$N$19*'аксел-ры 1 и 2 и интегр-ие  '!Z6</f>
        <v>2.1169743927489981</v>
      </c>
    </row>
    <row r="7" spans="1:29" x14ac:dyDescent="0.25">
      <c r="A7" s="12">
        <v>3.9999958000000002E-2</v>
      </c>
      <c r="B7" s="12">
        <v>-6416.783203</v>
      </c>
      <c r="C7" s="26"/>
      <c r="D7" s="12">
        <v>3.9999958000000002E-2</v>
      </c>
      <c r="E7" s="12">
        <v>2912.7277829999998</v>
      </c>
      <c r="F7" s="28"/>
      <c r="G7" s="12">
        <v>3.9999958000000002E-2</v>
      </c>
      <c r="H7" s="12">
        <v>-6416.783203</v>
      </c>
      <c r="I7" s="26"/>
      <c r="J7" s="12">
        <v>3.9999958000000002E-2</v>
      </c>
      <c r="K7" s="12">
        <v>2912.7277829999998</v>
      </c>
      <c r="M7" s="30">
        <f t="shared" ref="M7:M70" si="0">A7</f>
        <v>3.9999958000000002E-2</v>
      </c>
      <c r="N7" s="30">
        <f t="shared" ref="N7:N70" si="1">N6+((B6+B7)/2)*$G$3</f>
        <v>-134.19908201500002</v>
      </c>
      <c r="O7" s="30">
        <f t="shared" ref="O7:O70" si="2">O6+((N6+N7)/2)*$G$3</f>
        <v>-1.1815712400750003</v>
      </c>
      <c r="P7" s="30">
        <f>O7/1000+'Начальные условия и парам.'!$G$21+'Начальные условия и парам.'!$K$19*'аксел-ры 1 и 2 и интегр-ие  '!M7</f>
        <v>0.69836664526303605</v>
      </c>
      <c r="Q7" s="30">
        <f t="shared" ref="Q7:Q70" si="3">A7</f>
        <v>3.9999958000000002E-2</v>
      </c>
      <c r="R7" s="30">
        <f t="shared" ref="R7:R70" si="4">R6+((H7+H6)/2)*$G$3</f>
        <v>-134.19908201500002</v>
      </c>
      <c r="S7" s="30">
        <f t="shared" ref="S7:S70" si="5">S6+((R6+R7)/2)*$G$3</f>
        <v>-1.1815712400750003</v>
      </c>
      <c r="T7" s="30">
        <f>S7/1000+'Начальные условия и парам.'!$M$21+'Начальные условия и парам.'!$K$19*'аксел-ры 1 и 2 и интегр-ие  '!Q7</f>
        <v>2.5777518868348528</v>
      </c>
      <c r="V7" s="30">
        <f t="shared" ref="V7:V70" si="6">A7</f>
        <v>3.9999958000000002E-2</v>
      </c>
      <c r="W7" s="30">
        <f t="shared" ref="W7:W70" si="7">W6+((E6+E7)/2)*$G$3</f>
        <v>78.497857664999998</v>
      </c>
      <c r="X7" s="30">
        <f t="shared" ref="X7:X70" si="8">X6+((W6+W7)/2)*$G$3</f>
        <v>0.7121603820750001</v>
      </c>
      <c r="Y7" s="30">
        <f>X7/1000+'Начальные условия и парам.'!$G$22+'Начальные условия и парам.'!$N$19*'аксел-ры 1 и 2 и интегр-ие  '!V7</f>
        <v>2.7379109128808548</v>
      </c>
      <c r="Z7" s="30">
        <f t="shared" ref="Z7:Z70" si="9">A7</f>
        <v>3.9999958000000002E-2</v>
      </c>
      <c r="AA7" s="30">
        <f t="shared" ref="AA7:AA70" si="10">AA6+((K6+K7)/2)*$G$3</f>
        <v>78.497857664999998</v>
      </c>
      <c r="AB7" s="30">
        <f t="shared" ref="AB7:AB70" si="11">AB6+((AA6+AA7)/2)*$G$3</f>
        <v>0.7121603820750001</v>
      </c>
      <c r="AC7" s="30">
        <f>AB7/1000+'Начальные условия и парам.'!$M$22+'Начальные условия и парам.'!$N$19*'аксел-ры 1 и 2 и интегр-ие  '!Z7</f>
        <v>2.053870626229517</v>
      </c>
    </row>
    <row r="8" spans="1:29" x14ac:dyDescent="0.25">
      <c r="A8" s="12">
        <v>4.9999818000000001E-2</v>
      </c>
      <c r="B8" s="12">
        <v>-642.87426760000005</v>
      </c>
      <c r="C8" s="26"/>
      <c r="D8" s="12">
        <v>4.9999818000000001E-2</v>
      </c>
      <c r="E8" s="12">
        <v>-537.89068599999996</v>
      </c>
      <c r="F8" s="28"/>
      <c r="G8" s="12">
        <v>4.9999818000000001E-2</v>
      </c>
      <c r="H8" s="12">
        <v>-642.87426760000005</v>
      </c>
      <c r="I8" s="26"/>
      <c r="J8" s="12">
        <v>4.9999818000000001E-2</v>
      </c>
      <c r="K8" s="12">
        <v>-537.89068599999996</v>
      </c>
      <c r="M8" s="30">
        <f t="shared" si="0"/>
        <v>4.9999818000000001E-2</v>
      </c>
      <c r="N8" s="30">
        <f t="shared" si="1"/>
        <v>-169.49736936800002</v>
      </c>
      <c r="O8" s="30">
        <f t="shared" si="2"/>
        <v>-2.7000534969900007</v>
      </c>
      <c r="P8" s="30">
        <f>O8/1000+'Начальные условия и парам.'!$G$21+'Начальные условия и парам.'!$K$19*'аксел-ры 1 и 2 и интегр-ие  '!M8</f>
        <v>0.87173295234216985</v>
      </c>
      <c r="Q8" s="30">
        <f t="shared" si="3"/>
        <v>4.9999818000000001E-2</v>
      </c>
      <c r="R8" s="30">
        <f t="shared" si="4"/>
        <v>-169.49736936800002</v>
      </c>
      <c r="S8" s="30">
        <f t="shared" si="5"/>
        <v>-2.7000534969900007</v>
      </c>
      <c r="T8" s="30">
        <f>S8/1000+'Начальные условия и парам.'!$M$21+'Начальные условия и парам.'!$K$19*'аксел-ры 1 и 2 и интегр-ие  '!Q8</f>
        <v>2.7511181939139866</v>
      </c>
      <c r="V8" s="30">
        <f t="shared" si="6"/>
        <v>4.9999818000000001E-2</v>
      </c>
      <c r="W8" s="30">
        <f t="shared" si="7"/>
        <v>90.372043149999996</v>
      </c>
      <c r="X8" s="30">
        <f t="shared" si="8"/>
        <v>1.5565098861500002</v>
      </c>
      <c r="Y8" s="30">
        <f>X8/1000+'Начальные условия и парам.'!$G$22+'Начальные условия и парам.'!$N$19*'аксел-ры 1 и 2 и интегр-ие  '!V8</f>
        <v>2.6751024046406924</v>
      </c>
      <c r="Z8" s="30">
        <f t="shared" si="9"/>
        <v>4.9999818000000001E-2</v>
      </c>
      <c r="AA8" s="30">
        <f t="shared" si="10"/>
        <v>90.372043149999996</v>
      </c>
      <c r="AB8" s="30">
        <f t="shared" si="11"/>
        <v>1.5565098861500002</v>
      </c>
      <c r="AC8" s="30">
        <f>AB8/1000+'Начальные условия и парам.'!$M$22+'Начальные условия и парам.'!$N$19*'аксел-ры 1 и 2 и интегр-ие  '!Z8</f>
        <v>1.9910621179893551</v>
      </c>
    </row>
    <row r="9" spans="1:29" x14ac:dyDescent="0.25">
      <c r="A9" s="12">
        <v>5.9999681999999999E-2</v>
      </c>
      <c r="B9" s="12">
        <v>-1929.0867920000001</v>
      </c>
      <c r="C9" s="26"/>
      <c r="D9" s="12">
        <v>5.9999681999999999E-2</v>
      </c>
      <c r="E9" s="12">
        <v>2300.999268</v>
      </c>
      <c r="F9" s="28"/>
      <c r="G9" s="12">
        <v>5.9999681999999999E-2</v>
      </c>
      <c r="H9" s="12">
        <v>-1929.0867920000001</v>
      </c>
      <c r="I9" s="26"/>
      <c r="J9" s="12">
        <v>5.9999681999999999E-2</v>
      </c>
      <c r="K9" s="12">
        <v>2300.999268</v>
      </c>
      <c r="M9" s="30">
        <f t="shared" si="0"/>
        <v>5.9999681999999999E-2</v>
      </c>
      <c r="N9" s="30">
        <f t="shared" si="1"/>
        <v>-182.35717466600002</v>
      </c>
      <c r="O9" s="30">
        <f t="shared" si="2"/>
        <v>-4.459326217160001</v>
      </c>
      <c r="P9" s="30">
        <f>O9/1000+'Начальные условия и парам.'!$G$21+'Начальные условия и парам.'!$K$19*'аксел-ры 1 и 2 и интегр-ие  '!M9</f>
        <v>1.0448585389129437</v>
      </c>
      <c r="Q9" s="30">
        <f t="shared" si="3"/>
        <v>5.9999681999999999E-2</v>
      </c>
      <c r="R9" s="30">
        <f t="shared" si="4"/>
        <v>-182.35717466600002</v>
      </c>
      <c r="S9" s="30">
        <f t="shared" si="5"/>
        <v>-4.459326217160001</v>
      </c>
      <c r="T9" s="30">
        <f>S9/1000+'Начальные условия и парам.'!$M$21+'Начальные условия и парам.'!$K$19*'аксел-ры 1 и 2 и интегр-ие  '!Q9</f>
        <v>2.9242437804847605</v>
      </c>
      <c r="V9" s="30">
        <f t="shared" si="6"/>
        <v>5.9999681999999999E-2</v>
      </c>
      <c r="W9" s="30">
        <f t="shared" si="7"/>
        <v>99.187586060000001</v>
      </c>
      <c r="X9" s="30">
        <f t="shared" si="8"/>
        <v>2.5043080322</v>
      </c>
      <c r="Y9" s="30">
        <f>X9/1000+'Начальные условия и парам.'!$G$22+'Начальные условия и парам.'!$N$19*'аксел-ры 1 и 2 и интегр-ие  '!V9</f>
        <v>2.6123973195810057</v>
      </c>
      <c r="Z9" s="30">
        <f t="shared" si="9"/>
        <v>5.9999681999999999E-2</v>
      </c>
      <c r="AA9" s="30">
        <f t="shared" si="10"/>
        <v>99.187586060000001</v>
      </c>
      <c r="AB9" s="30">
        <f t="shared" si="11"/>
        <v>2.5043080322</v>
      </c>
      <c r="AC9" s="30">
        <f>AB9/1000+'Начальные условия и парам.'!$M$22+'Начальные условия и парам.'!$N$19*'аксел-ры 1 и 2 и интегр-ие  '!Z9</f>
        <v>1.9283570329296682</v>
      </c>
    </row>
    <row r="10" spans="1:29" x14ac:dyDescent="0.25">
      <c r="A10" s="12">
        <v>6.9999545999999996E-2</v>
      </c>
      <c r="B10" s="12">
        <v>-3346.3098150000001</v>
      </c>
      <c r="C10" s="26"/>
      <c r="D10" s="12">
        <v>6.9999545999999996E-2</v>
      </c>
      <c r="E10" s="12">
        <v>5544.5253910000001</v>
      </c>
      <c r="F10" s="28"/>
      <c r="G10" s="12">
        <v>6.9999545999999996E-2</v>
      </c>
      <c r="H10" s="12">
        <v>-3346.3098150000001</v>
      </c>
      <c r="I10" s="26"/>
      <c r="J10" s="12">
        <v>6.9999545999999996E-2</v>
      </c>
      <c r="K10" s="12">
        <v>5544.5253910000001</v>
      </c>
      <c r="M10" s="30">
        <f t="shared" si="0"/>
        <v>6.9999545999999996E-2</v>
      </c>
      <c r="N10" s="30">
        <f t="shared" si="1"/>
        <v>-208.73415770100002</v>
      </c>
      <c r="O10" s="30">
        <f t="shared" si="2"/>
        <v>-6.4147828789950019</v>
      </c>
      <c r="P10" s="30">
        <f>O10/1000+'Начальные условия и парам.'!$G$21+'Начальные условия и парам.'!$K$19*'аксел-ры 1 и 2 и интегр-ие  '!M10</f>
        <v>1.2177879415420523</v>
      </c>
      <c r="Q10" s="30">
        <f t="shared" si="3"/>
        <v>6.9999545999999996E-2</v>
      </c>
      <c r="R10" s="30">
        <f t="shared" si="4"/>
        <v>-208.73415770100002</v>
      </c>
      <c r="S10" s="30">
        <f t="shared" si="5"/>
        <v>-6.4147828789950019</v>
      </c>
      <c r="T10" s="30">
        <f>S10/1000+'Начальные условия и парам.'!$M$21+'Начальные условия и парам.'!$K$19*'аксел-ры 1 и 2 и интегр-ие  '!Q10</f>
        <v>3.0971731831138691</v>
      </c>
      <c r="V10" s="30">
        <f t="shared" si="6"/>
        <v>6.9999545999999996E-2</v>
      </c>
      <c r="W10" s="30">
        <f t="shared" si="7"/>
        <v>138.415209355</v>
      </c>
      <c r="X10" s="30">
        <f t="shared" si="8"/>
        <v>3.6923220092750002</v>
      </c>
      <c r="Y10" s="30">
        <f>X10/1000+'Начальные условия и парам.'!$G$22+'Начальные условия и парам.'!$N$19*'аксел-ры 1 и 2 и интегр-ие  '!V10</f>
        <v>2.5499324503523439</v>
      </c>
      <c r="Z10" s="30">
        <f t="shared" si="9"/>
        <v>6.9999545999999996E-2</v>
      </c>
      <c r="AA10" s="30">
        <f t="shared" si="10"/>
        <v>138.415209355</v>
      </c>
      <c r="AB10" s="30">
        <f t="shared" si="11"/>
        <v>3.6923220092750002</v>
      </c>
      <c r="AC10" s="30">
        <f>AB10/1000+'Начальные условия и парам.'!$M$22+'Начальные условия и парам.'!$N$19*'аксел-ры 1 и 2 и интегр-ие  '!Z10</f>
        <v>1.8658921637010066</v>
      </c>
    </row>
    <row r="11" spans="1:29" x14ac:dyDescent="0.25">
      <c r="A11" s="12">
        <v>7.9999916000000004E-2</v>
      </c>
      <c r="B11" s="12">
        <v>-2982.7238769999999</v>
      </c>
      <c r="C11" s="26"/>
      <c r="D11" s="12">
        <v>7.9999916000000004E-2</v>
      </c>
      <c r="E11" s="12">
        <v>4870.4604490000002</v>
      </c>
      <c r="F11" s="28"/>
      <c r="G11" s="12">
        <v>7.9999916000000004E-2</v>
      </c>
      <c r="H11" s="12">
        <v>-2982.7238769999999</v>
      </c>
      <c r="I11" s="26"/>
      <c r="J11" s="12">
        <v>7.9999916000000004E-2</v>
      </c>
      <c r="K11" s="12">
        <v>4870.4604490000002</v>
      </c>
      <c r="M11" s="30">
        <f t="shared" si="0"/>
        <v>7.9999916000000004E-2</v>
      </c>
      <c r="N11" s="30">
        <f t="shared" si="1"/>
        <v>-240.37932616100002</v>
      </c>
      <c r="O11" s="30">
        <f t="shared" si="2"/>
        <v>-8.6603502983050014</v>
      </c>
      <c r="P11" s="30">
        <f>O11/1000+'Начальные условия и парам.'!$G$21+'Начальные условия и парам.'!$K$19*'аксел-ры 1 и 2 и интегр-ие  '!M11</f>
        <v>1.3904360827079172</v>
      </c>
      <c r="Q11" s="30">
        <f t="shared" si="3"/>
        <v>7.9999916000000004E-2</v>
      </c>
      <c r="R11" s="30">
        <f t="shared" si="4"/>
        <v>-240.37932616100002</v>
      </c>
      <c r="S11" s="30">
        <f t="shared" si="5"/>
        <v>-8.6603502983050014</v>
      </c>
      <c r="T11" s="30">
        <f>S11/1000+'Начальные условия и парам.'!$M$21+'Начальные условия и парам.'!$K$19*'аксел-ры 1 и 2 и интегр-ие  '!Q11</f>
        <v>3.269821324279734</v>
      </c>
      <c r="V11" s="30">
        <f t="shared" si="6"/>
        <v>7.9999916000000004E-2</v>
      </c>
      <c r="W11" s="30">
        <f t="shared" si="7"/>
        <v>190.49013855500002</v>
      </c>
      <c r="X11" s="30">
        <f t="shared" si="8"/>
        <v>5.336848748825</v>
      </c>
      <c r="Y11" s="30">
        <f>X11/1000+'Начальные условия и парам.'!$G$22+'Начальные условия и парам.'!$N$19*'аксел-ры 1 и 2 и интегр-ие  '!V11</f>
        <v>2.487920873006463</v>
      </c>
      <c r="Z11" s="30">
        <f t="shared" si="9"/>
        <v>7.9999916000000004E-2</v>
      </c>
      <c r="AA11" s="30">
        <f t="shared" si="10"/>
        <v>190.49013855500002</v>
      </c>
      <c r="AB11" s="30">
        <f t="shared" si="11"/>
        <v>5.336848748825</v>
      </c>
      <c r="AC11" s="30">
        <f>AB11/1000+'Начальные условия и парам.'!$M$22+'Начальные условия и парам.'!$N$19*'аксел-ры 1 и 2 и интегр-ие  '!Z11</f>
        <v>1.8038805863551257</v>
      </c>
    </row>
    <row r="12" spans="1:29" x14ac:dyDescent="0.25">
      <c r="A12" s="12">
        <v>8.9999773000000005E-2</v>
      </c>
      <c r="B12" s="12">
        <v>-638.06988530000001</v>
      </c>
      <c r="C12" s="26"/>
      <c r="D12" s="12">
        <v>8.9999773000000005E-2</v>
      </c>
      <c r="E12" s="12">
        <v>2740.4272460000002</v>
      </c>
      <c r="F12" s="28"/>
      <c r="G12" s="12">
        <v>8.9999773000000005E-2</v>
      </c>
      <c r="H12" s="12">
        <v>-638.06988530000001</v>
      </c>
      <c r="I12" s="26"/>
      <c r="J12" s="12">
        <v>8.9999773000000005E-2</v>
      </c>
      <c r="K12" s="12">
        <v>2740.4272460000002</v>
      </c>
      <c r="M12" s="30">
        <f t="shared" si="0"/>
        <v>8.9999773000000005E-2</v>
      </c>
      <c r="N12" s="30">
        <f t="shared" si="1"/>
        <v>-258.4832949725</v>
      </c>
      <c r="O12" s="30">
        <f t="shared" si="2"/>
        <v>-11.154663403972503</v>
      </c>
      <c r="P12" s="30">
        <f>O12/1000+'Начальные условия и парам.'!$G$21+'Начальные условия и парам.'!$K$19*'аксел-ры 1 и 2 и интегр-ие  '!M12</f>
        <v>1.562826506472127</v>
      </c>
      <c r="Q12" s="30">
        <f t="shared" si="3"/>
        <v>8.9999773000000005E-2</v>
      </c>
      <c r="R12" s="30">
        <f t="shared" si="4"/>
        <v>-258.4832949725</v>
      </c>
      <c r="S12" s="30">
        <f t="shared" si="5"/>
        <v>-11.154663403972503</v>
      </c>
      <c r="T12" s="30">
        <f>S12/1000+'Начальные условия и парам.'!$M$21+'Начальные условия и парам.'!$K$19*'аксел-ры 1 и 2 и интегр-ие  '!Q12</f>
        <v>3.4422117480439436</v>
      </c>
      <c r="V12" s="30">
        <f t="shared" si="6"/>
        <v>8.9999773000000005E-2</v>
      </c>
      <c r="W12" s="30">
        <f t="shared" si="7"/>
        <v>228.54457703000003</v>
      </c>
      <c r="X12" s="30">
        <f t="shared" si="8"/>
        <v>7.4320223267500003</v>
      </c>
      <c r="Y12" s="30">
        <f>X12/1000+'Начальные условия и парам.'!$G$22+'Начальные условия и парам.'!$N$19*'аксел-ры 1 и 2 и интегр-ие  '!V12</f>
        <v>2.4263632079362756</v>
      </c>
      <c r="Z12" s="30">
        <f t="shared" si="9"/>
        <v>8.9999773000000005E-2</v>
      </c>
      <c r="AA12" s="30">
        <f t="shared" si="10"/>
        <v>228.54457703000003</v>
      </c>
      <c r="AB12" s="30">
        <f t="shared" si="11"/>
        <v>7.4320223267500003</v>
      </c>
      <c r="AC12" s="30">
        <f>AB12/1000+'Начальные условия и парам.'!$M$22+'Начальные условия и парам.'!$N$19*'аксел-ры 1 и 2 и интегр-ие  '!Z12</f>
        <v>1.7423229212849383</v>
      </c>
    </row>
    <row r="13" spans="1:29" x14ac:dyDescent="0.25">
      <c r="A13" s="12">
        <v>9.9999636000000003E-2</v>
      </c>
      <c r="B13" s="12">
        <v>-169.1958008</v>
      </c>
      <c r="C13" s="26"/>
      <c r="D13" s="12">
        <v>9.9999636000000003E-2</v>
      </c>
      <c r="E13" s="12">
        <v>2993.9255370000001</v>
      </c>
      <c r="F13" s="28"/>
      <c r="G13" s="12">
        <v>9.9999636000000003E-2</v>
      </c>
      <c r="H13" s="12">
        <v>-169.1958008</v>
      </c>
      <c r="I13" s="26"/>
      <c r="J13" s="12">
        <v>9.9999636000000003E-2</v>
      </c>
      <c r="K13" s="12">
        <v>2993.9255370000001</v>
      </c>
      <c r="M13" s="30">
        <f t="shared" si="0"/>
        <v>9.9999636000000003E-2</v>
      </c>
      <c r="N13" s="30">
        <f t="shared" si="1"/>
        <v>-262.51962340300003</v>
      </c>
      <c r="O13" s="30">
        <f t="shared" si="2"/>
        <v>-13.759677995850003</v>
      </c>
      <c r="P13" s="30">
        <f>O13/1000+'Начальные условия и парам.'!$G$21+'Начальные условия и парам.'!$K$19*'аксел-ры 1 и 2 и интегр-ие  '!M13</f>
        <v>1.7351063336824697</v>
      </c>
      <c r="Q13" s="30">
        <f t="shared" si="3"/>
        <v>9.9999636000000003E-2</v>
      </c>
      <c r="R13" s="30">
        <f t="shared" si="4"/>
        <v>-262.51962340300003</v>
      </c>
      <c r="S13" s="30">
        <f t="shared" si="5"/>
        <v>-13.759677995850003</v>
      </c>
      <c r="T13" s="30">
        <f>S13/1000+'Начальные условия и парам.'!$M$21+'Начальные условия и парам.'!$K$19*'аксел-ры 1 и 2 и интегр-ие  '!Q13</f>
        <v>3.6144915752542865</v>
      </c>
      <c r="V13" s="30">
        <f t="shared" si="6"/>
        <v>9.9999636000000003E-2</v>
      </c>
      <c r="W13" s="30">
        <f t="shared" si="7"/>
        <v>257.21634094500001</v>
      </c>
      <c r="X13" s="30">
        <f t="shared" si="8"/>
        <v>9.8608269166250011</v>
      </c>
      <c r="Y13" s="30">
        <f>X13/1000+'Начальные условия и парам.'!$G$22+'Начальные условия и парам.'!$N$19*'аксел-ры 1 и 2 и интегр-ие  '!V13</f>
        <v>2.3651391356857889</v>
      </c>
      <c r="Z13" s="30">
        <f t="shared" si="9"/>
        <v>9.9999636000000003E-2</v>
      </c>
      <c r="AA13" s="30">
        <f t="shared" si="10"/>
        <v>257.21634094500001</v>
      </c>
      <c r="AB13" s="30">
        <f t="shared" si="11"/>
        <v>9.8608269166250011</v>
      </c>
      <c r="AC13" s="30">
        <f>AB13/1000+'Начальные условия и парам.'!$M$22+'Начальные условия и парам.'!$N$19*'аксел-ры 1 и 2 и интегр-ие  '!Z13</f>
        <v>1.6810988490344516</v>
      </c>
    </row>
    <row r="14" spans="1:29" x14ac:dyDescent="0.25">
      <c r="A14" s="12">
        <v>0.1099995</v>
      </c>
      <c r="B14" s="12">
        <v>-4190.0400390000004</v>
      </c>
      <c r="C14" s="26"/>
      <c r="D14" s="12">
        <v>0.1099995</v>
      </c>
      <c r="E14" s="12">
        <v>5262.0961909999996</v>
      </c>
      <c r="F14" s="28"/>
      <c r="G14" s="12">
        <v>0.1099995</v>
      </c>
      <c r="H14" s="12">
        <v>-4190.0400390000004</v>
      </c>
      <c r="I14" s="26"/>
      <c r="J14" s="12">
        <v>0.1099995</v>
      </c>
      <c r="K14" s="12">
        <v>5262.0961909999996</v>
      </c>
      <c r="M14" s="30">
        <f t="shared" si="0"/>
        <v>0.1099995</v>
      </c>
      <c r="N14" s="30">
        <f t="shared" si="1"/>
        <v>-284.31580260200002</v>
      </c>
      <c r="O14" s="30">
        <f t="shared" si="2"/>
        <v>-16.493855125875005</v>
      </c>
      <c r="P14" s="30">
        <f>O14/1000+'Начальные условия и парам.'!$G$21+'Начальные условия и парам.'!$K$19*'аксел-ры 1 и 2 и интегр-ие  '!M14</f>
        <v>1.9072570158433884</v>
      </c>
      <c r="Q14" s="30">
        <f t="shared" si="3"/>
        <v>0.1099995</v>
      </c>
      <c r="R14" s="30">
        <f t="shared" si="4"/>
        <v>-284.31580260200002</v>
      </c>
      <c r="S14" s="30">
        <f t="shared" si="5"/>
        <v>-16.493855125875005</v>
      </c>
      <c r="T14" s="30">
        <f>S14/1000+'Начальные условия и парам.'!$M$21+'Начальные условия и парам.'!$K$19*'аксел-ры 1 и 2 и интегр-ие  '!Q14</f>
        <v>3.7866422574152052</v>
      </c>
      <c r="V14" s="30">
        <f t="shared" si="6"/>
        <v>0.1099995</v>
      </c>
      <c r="W14" s="30">
        <f t="shared" si="7"/>
        <v>298.49644958499999</v>
      </c>
      <c r="X14" s="30">
        <f t="shared" si="8"/>
        <v>12.639390869275001</v>
      </c>
      <c r="Y14" s="30">
        <f>X14/1000+'Начальные условия и парам.'!$G$22+'Начальные условия и парам.'!$N$19*'аксел-ры 1 и 2 и интегр-ие  '!V14</f>
        <v>2.3042648164327022</v>
      </c>
      <c r="Z14" s="30">
        <f t="shared" si="9"/>
        <v>0.1099995</v>
      </c>
      <c r="AA14" s="30">
        <f t="shared" si="10"/>
        <v>298.49644958499999</v>
      </c>
      <c r="AB14" s="30">
        <f t="shared" si="11"/>
        <v>12.639390869275001</v>
      </c>
      <c r="AC14" s="30">
        <f>AB14/1000+'Начальные условия и парам.'!$M$22+'Начальные условия и парам.'!$N$19*'аксел-ры 1 и 2 и интегр-ие  '!Z14</f>
        <v>1.6202245297813649</v>
      </c>
    </row>
    <row r="15" spans="1:29" x14ac:dyDescent="0.25">
      <c r="A15" s="12">
        <v>0.11999987099999999</v>
      </c>
      <c r="B15" s="12">
        <v>-7143.4604490000002</v>
      </c>
      <c r="C15" s="26"/>
      <c r="D15" s="12">
        <v>0.11999987099999999</v>
      </c>
      <c r="E15" s="12">
        <v>8232.3828130000002</v>
      </c>
      <c r="F15" s="28"/>
      <c r="G15" s="12">
        <v>0.11999987099999999</v>
      </c>
      <c r="H15" s="12">
        <v>-7143.4604490000002</v>
      </c>
      <c r="I15" s="26"/>
      <c r="J15" s="12">
        <v>0.11999987099999999</v>
      </c>
      <c r="K15" s="12">
        <v>8232.3828130000002</v>
      </c>
      <c r="M15" s="30">
        <f t="shared" si="0"/>
        <v>0.11999987099999999</v>
      </c>
      <c r="N15" s="30">
        <f t="shared" si="1"/>
        <v>-340.98330504200004</v>
      </c>
      <c r="O15" s="30">
        <f t="shared" si="2"/>
        <v>-19.620350664095007</v>
      </c>
      <c r="P15" s="30">
        <f>O15/1000+'Начальные условия и парам.'!$G$21+'Начальные условия и парам.'!$K$19*'аксел-ры 1 и 2 и интегр-ие  '!M15</f>
        <v>2.0790242463790665</v>
      </c>
      <c r="Q15" s="30">
        <f t="shared" si="3"/>
        <v>0.11999987099999999</v>
      </c>
      <c r="R15" s="30">
        <f t="shared" si="4"/>
        <v>-340.98330504200004</v>
      </c>
      <c r="S15" s="30">
        <f t="shared" si="5"/>
        <v>-19.620350664095007</v>
      </c>
      <c r="T15" s="30">
        <f>S15/1000+'Начальные условия и парам.'!$M$21+'Начальные условия и парам.'!$K$19*'аксел-ры 1 и 2 и интегр-ие  '!Q15</f>
        <v>3.9584094879508829</v>
      </c>
      <c r="V15" s="30">
        <f t="shared" si="6"/>
        <v>0.11999987099999999</v>
      </c>
      <c r="W15" s="30">
        <f t="shared" si="7"/>
        <v>365.96884460500002</v>
      </c>
      <c r="X15" s="30">
        <f t="shared" si="8"/>
        <v>15.961717340225</v>
      </c>
      <c r="Y15" s="30">
        <f>X15/1000+'Начальные условия и парам.'!$G$22+'Начальные условия и парам.'!$N$19*'аксел-ры 1 и 2 и интегр-ие  '!V15</f>
        <v>2.2439310324528465</v>
      </c>
      <c r="Z15" s="30">
        <f t="shared" si="9"/>
        <v>0.11999987099999999</v>
      </c>
      <c r="AA15" s="30">
        <f t="shared" si="10"/>
        <v>365.96884460500002</v>
      </c>
      <c r="AB15" s="30">
        <f t="shared" si="11"/>
        <v>15.961717340225</v>
      </c>
      <c r="AC15" s="30">
        <f>AB15/1000+'Начальные условия и парам.'!$M$22+'Начальные условия и парам.'!$N$19*'аксел-ры 1 и 2 и интегр-ие  '!Z15</f>
        <v>1.5598907458015092</v>
      </c>
    </row>
    <row r="16" spans="1:29" x14ac:dyDescent="0.25">
      <c r="A16" s="12">
        <v>0.12999972700000001</v>
      </c>
      <c r="B16" s="12">
        <v>-6372.798828</v>
      </c>
      <c r="C16" s="26"/>
      <c r="D16" s="12">
        <v>0.12999972700000001</v>
      </c>
      <c r="E16" s="12">
        <v>12640.358399999999</v>
      </c>
      <c r="F16" s="28"/>
      <c r="G16" s="12">
        <v>0.12999972700000001</v>
      </c>
      <c r="H16" s="12">
        <v>-6372.798828</v>
      </c>
      <c r="I16" s="26"/>
      <c r="J16" s="12">
        <v>0.12999972700000001</v>
      </c>
      <c r="K16" s="12">
        <v>12640.358399999999</v>
      </c>
      <c r="M16" s="30">
        <f t="shared" si="0"/>
        <v>0.12999972700000001</v>
      </c>
      <c r="N16" s="30">
        <f t="shared" si="1"/>
        <v>-408.56460142700007</v>
      </c>
      <c r="O16" s="30">
        <f t="shared" si="2"/>
        <v>-23.368090196440008</v>
      </c>
      <c r="P16" s="30">
        <f>O16/1000+'Начальные условия и парам.'!$G$21+'Начальные условия и парам.'!$K$19*'аксел-ры 1 и 2 и интегр-ие  '!M16</f>
        <v>2.2501612262278754</v>
      </c>
      <c r="Q16" s="30">
        <f t="shared" si="3"/>
        <v>0.12999972700000001</v>
      </c>
      <c r="R16" s="30">
        <f t="shared" si="4"/>
        <v>-408.56460142700007</v>
      </c>
      <c r="S16" s="30">
        <f t="shared" si="5"/>
        <v>-23.368090196440008</v>
      </c>
      <c r="T16" s="30">
        <f>S16/1000+'Начальные условия и парам.'!$M$21+'Начальные условия и парам.'!$K$19*'аксел-ры 1 и 2 и интегр-ие  '!Q16</f>
        <v>4.1295464677996927</v>
      </c>
      <c r="V16" s="30">
        <f t="shared" si="6"/>
        <v>0.12999972700000001</v>
      </c>
      <c r="W16" s="30">
        <f t="shared" si="7"/>
        <v>470.33255067000005</v>
      </c>
      <c r="X16" s="30">
        <f t="shared" si="8"/>
        <v>20.143224316600001</v>
      </c>
      <c r="Y16" s="30">
        <f>X16/1000+'Начальные условия и парам.'!$G$22+'Начальные условия и парам.'!$N$19*'аксел-ры 1 и 2 и интегр-ие  '!V16</f>
        <v>2.184459707146484</v>
      </c>
      <c r="Z16" s="30">
        <f t="shared" si="9"/>
        <v>0.12999972700000001</v>
      </c>
      <c r="AA16" s="30">
        <f t="shared" si="10"/>
        <v>470.33255067000005</v>
      </c>
      <c r="AB16" s="30">
        <f t="shared" si="11"/>
        <v>20.143224316600001</v>
      </c>
      <c r="AC16" s="30">
        <f>AB16/1000+'Начальные условия и парам.'!$M$22+'Начальные условия и парам.'!$N$19*'аксел-ры 1 и 2 и интегр-ие  '!Z16</f>
        <v>1.5004194204951466</v>
      </c>
    </row>
    <row r="17" spans="1:29" x14ac:dyDescent="0.25">
      <c r="A17" s="12">
        <v>0.139999598</v>
      </c>
      <c r="B17" s="12">
        <v>-6417.3388670000004</v>
      </c>
      <c r="C17" s="26"/>
      <c r="D17" s="12">
        <v>0.139999598</v>
      </c>
      <c r="E17" s="12">
        <v>17027.632809999999</v>
      </c>
      <c r="F17" s="28"/>
      <c r="G17" s="12">
        <v>0.139999598</v>
      </c>
      <c r="H17" s="12">
        <v>-6417.3388670000004</v>
      </c>
      <c r="I17" s="26"/>
      <c r="J17" s="12">
        <v>0.139999598</v>
      </c>
      <c r="K17" s="12">
        <v>17027.632809999999</v>
      </c>
      <c r="M17" s="30">
        <f t="shared" si="0"/>
        <v>0.139999598</v>
      </c>
      <c r="N17" s="30">
        <f t="shared" si="1"/>
        <v>-472.51528990200006</v>
      </c>
      <c r="O17" s="30">
        <f t="shared" si="2"/>
        <v>-27.773489653085008</v>
      </c>
      <c r="P17" s="30">
        <f>O17/1000+'Начальные условия и парам.'!$G$21+'Начальные условия и парам.'!$K$19*'аксел-ры 1 и 2 и интегр-ие  '!M17</f>
        <v>2.4206408084832405</v>
      </c>
      <c r="Q17" s="30">
        <f t="shared" si="3"/>
        <v>0.139999598</v>
      </c>
      <c r="R17" s="30">
        <f t="shared" si="4"/>
        <v>-472.51528990200006</v>
      </c>
      <c r="S17" s="30">
        <f t="shared" si="5"/>
        <v>-27.773489653085008</v>
      </c>
      <c r="T17" s="30">
        <f>S17/1000+'Начальные условия и парам.'!$M$21+'Начальные условия и парам.'!$K$19*'аксел-ры 1 и 2 и интегр-ие  '!Q17</f>
        <v>4.3000260500550578</v>
      </c>
      <c r="V17" s="30">
        <f t="shared" si="6"/>
        <v>0.139999598</v>
      </c>
      <c r="W17" s="30">
        <f t="shared" si="7"/>
        <v>618.67250672</v>
      </c>
      <c r="X17" s="30">
        <f t="shared" si="8"/>
        <v>25.58824960355</v>
      </c>
      <c r="Y17" s="30">
        <f>X17/1000+'Начальные условия и парам.'!$G$22+'Начальные условия и парам.'!$N$19*'аксел-ры 1 и 2 и интегр-ие  '!V17</f>
        <v>2.1262518046700731</v>
      </c>
      <c r="Z17" s="30">
        <f t="shared" si="9"/>
        <v>0.139999598</v>
      </c>
      <c r="AA17" s="30">
        <f t="shared" si="10"/>
        <v>618.67250672</v>
      </c>
      <c r="AB17" s="30">
        <f t="shared" si="11"/>
        <v>25.58824960355</v>
      </c>
      <c r="AC17" s="30">
        <f>AB17/1000+'Начальные условия и парам.'!$M$22+'Начальные условия и парам.'!$N$19*'аксел-ры 1 и 2 и интегр-ие  '!Z17</f>
        <v>1.4422115180187358</v>
      </c>
    </row>
    <row r="18" spans="1:29" x14ac:dyDescent="0.25">
      <c r="A18" s="12">
        <v>0.14999996099999999</v>
      </c>
      <c r="B18" s="12">
        <v>-8309.7421880000002</v>
      </c>
      <c r="C18" s="26"/>
      <c r="D18" s="12">
        <v>0.14999996099999999</v>
      </c>
      <c r="E18" s="12">
        <v>16236.70996</v>
      </c>
      <c r="F18" s="28"/>
      <c r="G18" s="12">
        <v>0.14999996099999999</v>
      </c>
      <c r="H18" s="12">
        <v>-8309.7421880000002</v>
      </c>
      <c r="I18" s="26"/>
      <c r="J18" s="12">
        <v>0.14999996099999999</v>
      </c>
      <c r="K18" s="12">
        <v>16236.70996</v>
      </c>
      <c r="M18" s="30">
        <f t="shared" si="0"/>
        <v>0.14999996099999999</v>
      </c>
      <c r="N18" s="30">
        <f t="shared" si="1"/>
        <v>-546.1506951770001</v>
      </c>
      <c r="O18" s="30">
        <f t="shared" si="2"/>
        <v>-32.866819578480012</v>
      </c>
      <c r="P18" s="30">
        <f>O18/1000+'Начальные условия и парам.'!$G$21+'Начальные условия и парам.'!$K$19*'аксел-ры 1 и 2 и интегр-ие  '!M18</f>
        <v>2.5904410647219533</v>
      </c>
      <c r="Q18" s="30">
        <f t="shared" si="3"/>
        <v>0.14999996099999999</v>
      </c>
      <c r="R18" s="30">
        <f t="shared" si="4"/>
        <v>-546.1506951770001</v>
      </c>
      <c r="S18" s="30">
        <f t="shared" si="5"/>
        <v>-32.866819578480012</v>
      </c>
      <c r="T18" s="30">
        <f>S18/1000+'Начальные условия и парам.'!$M$21+'Начальные условия и парам.'!$K$19*'аксел-ры 1 и 2 и интегр-ие  '!Q18</f>
        <v>4.4698263062937702</v>
      </c>
      <c r="V18" s="30">
        <f t="shared" si="6"/>
        <v>0.14999996099999999</v>
      </c>
      <c r="W18" s="30">
        <f t="shared" si="7"/>
        <v>784.99422057000004</v>
      </c>
      <c r="X18" s="30">
        <f t="shared" si="8"/>
        <v>32.606583239999999</v>
      </c>
      <c r="Y18" s="30">
        <f>X18/1000+'Начальные условия и парам.'!$G$22+'Начальные условия и парам.'!$N$19*'аксел-ры 1 и 2 и интегр-ие  '!V18</f>
        <v>2.0696140787787165</v>
      </c>
      <c r="Z18" s="30">
        <f t="shared" si="9"/>
        <v>0.14999996099999999</v>
      </c>
      <c r="AA18" s="30">
        <f t="shared" si="10"/>
        <v>784.99422057000004</v>
      </c>
      <c r="AB18" s="30">
        <f t="shared" si="11"/>
        <v>32.606583239999999</v>
      </c>
      <c r="AC18" s="30">
        <f>AB18/1000+'Начальные условия и парам.'!$M$22+'Начальные условия и парам.'!$N$19*'аксел-ры 1 и 2 и интегр-ие  '!Z18</f>
        <v>1.3855737921273794</v>
      </c>
    </row>
    <row r="19" spans="1:29" x14ac:dyDescent="0.25">
      <c r="A19" s="12">
        <v>0.15999983300000001</v>
      </c>
      <c r="B19" s="12">
        <v>-10312.32422</v>
      </c>
      <c r="C19" s="26"/>
      <c r="D19" s="12">
        <v>0.15999983300000001</v>
      </c>
      <c r="E19" s="12">
        <v>8364.0576170000004</v>
      </c>
      <c r="F19" s="28"/>
      <c r="G19" s="12">
        <v>0.15999983300000001</v>
      </c>
      <c r="H19" s="12">
        <v>-10312.32422</v>
      </c>
      <c r="I19" s="26"/>
      <c r="J19" s="12">
        <v>0.15999983300000001</v>
      </c>
      <c r="K19" s="12">
        <v>8364.0576170000004</v>
      </c>
      <c r="M19" s="30">
        <f t="shared" si="0"/>
        <v>0.15999983300000001</v>
      </c>
      <c r="N19" s="30">
        <f t="shared" si="1"/>
        <v>-639.26102721700011</v>
      </c>
      <c r="O19" s="30">
        <f t="shared" si="2"/>
        <v>-38.793878190450016</v>
      </c>
      <c r="P19" s="30">
        <f>O19/1000+'Начальные условия и парам.'!$G$21+'Начальные условия и парам.'!$K$19*'аксел-ры 1 и 2 и интегр-ие  '!M19</f>
        <v>2.7593990053107178</v>
      </c>
      <c r="Q19" s="30">
        <f t="shared" si="3"/>
        <v>0.15999983300000001</v>
      </c>
      <c r="R19" s="30">
        <f t="shared" si="4"/>
        <v>-639.26102721700011</v>
      </c>
      <c r="S19" s="30">
        <f t="shared" si="5"/>
        <v>-38.793878190450016</v>
      </c>
      <c r="T19" s="30">
        <f>S19/1000+'Начальные условия и парам.'!$M$21+'Начальные условия и парам.'!$K$19*'аксел-ры 1 и 2 и интегр-ие  '!Q19</f>
        <v>4.6387842468825351</v>
      </c>
      <c r="V19" s="30">
        <f t="shared" si="6"/>
        <v>0.15999983300000001</v>
      </c>
      <c r="W19" s="30">
        <f t="shared" si="7"/>
        <v>907.99805845500009</v>
      </c>
      <c r="X19" s="30">
        <f t="shared" si="8"/>
        <v>41.071544635125001</v>
      </c>
      <c r="Y19" s="30">
        <f>X19/1000+'Начальные условия и парам.'!$G$22+'Начальные условия и парам.'!$N$19*'аксел-ры 1 и 2 и интегр-ие  '!V19</f>
        <v>2.0144261060451054</v>
      </c>
      <c r="Z19" s="30">
        <f t="shared" si="9"/>
        <v>0.15999983300000001</v>
      </c>
      <c r="AA19" s="30">
        <f t="shared" si="10"/>
        <v>907.99805845500009</v>
      </c>
      <c r="AB19" s="30">
        <f t="shared" si="11"/>
        <v>41.071544635125001</v>
      </c>
      <c r="AC19" s="30">
        <f>AB19/1000+'Начальные условия и парам.'!$M$22+'Начальные условия и парам.'!$N$19*'аксел-ры 1 и 2 и интегр-ие  '!Z19</f>
        <v>1.3303858193937683</v>
      </c>
    </row>
    <row r="20" spans="1:29" x14ac:dyDescent="0.25">
      <c r="A20" s="12">
        <v>0.16999968900000001</v>
      </c>
      <c r="B20" s="12">
        <v>-11707.64258</v>
      </c>
      <c r="C20" s="26"/>
      <c r="D20" s="12">
        <v>0.16999968900000001</v>
      </c>
      <c r="E20" s="12">
        <v>-378.59463499999998</v>
      </c>
      <c r="F20" s="28"/>
      <c r="G20" s="12">
        <v>0.16999968900000001</v>
      </c>
      <c r="H20" s="12">
        <v>-11707.64258</v>
      </c>
      <c r="I20" s="26"/>
      <c r="J20" s="12">
        <v>0.16999968900000001</v>
      </c>
      <c r="K20" s="12">
        <v>-378.59463499999998</v>
      </c>
      <c r="M20" s="30">
        <f t="shared" si="0"/>
        <v>0.16999968900000001</v>
      </c>
      <c r="N20" s="30">
        <f t="shared" si="1"/>
        <v>-749.36086121700009</v>
      </c>
      <c r="O20" s="30">
        <f t="shared" si="2"/>
        <v>-45.736987632620014</v>
      </c>
      <c r="P20" s="30">
        <f>O20/1000+'Начальные условия и парам.'!$G$21+'Начальные условия и парам.'!$K$19*'аксел-ры 1 и 2 и интегр-ие  '!M20</f>
        <v>2.9273406152497015</v>
      </c>
      <c r="Q20" s="30">
        <f t="shared" si="3"/>
        <v>0.16999968900000001</v>
      </c>
      <c r="R20" s="30">
        <f t="shared" si="4"/>
        <v>-749.36086121700009</v>
      </c>
      <c r="S20" s="30">
        <f t="shared" si="5"/>
        <v>-45.736987632620014</v>
      </c>
      <c r="T20" s="30">
        <f>S20/1000+'Начальные условия и парам.'!$M$21+'Начальные условия и парам.'!$K$19*'аксел-ры 1 и 2 и интегр-ие  '!Q20</f>
        <v>4.8067258568215188</v>
      </c>
      <c r="V20" s="30">
        <f t="shared" si="6"/>
        <v>0.16999968900000001</v>
      </c>
      <c r="W20" s="30">
        <f t="shared" si="7"/>
        <v>947.92537336500004</v>
      </c>
      <c r="X20" s="30">
        <f t="shared" si="8"/>
        <v>50.351161794225</v>
      </c>
      <c r="Y20" s="30">
        <f>X20/1000+'Начальные условия и парам.'!$G$22+'Начальные условия и парам.'!$N$19*'аксел-ры 1 и 2 и интегр-ие  '!V20</f>
        <v>1.9600528909214683</v>
      </c>
      <c r="Z20" s="30">
        <f t="shared" si="9"/>
        <v>0.16999968900000001</v>
      </c>
      <c r="AA20" s="30">
        <f t="shared" si="10"/>
        <v>947.92537336500004</v>
      </c>
      <c r="AB20" s="30">
        <f t="shared" si="11"/>
        <v>50.351161794225</v>
      </c>
      <c r="AC20" s="30">
        <f>AB20/1000+'Начальные условия и парам.'!$M$22+'Начальные условия и парам.'!$N$19*'аксел-ры 1 и 2 и интегр-ие  '!Z20</f>
        <v>1.276012604270131</v>
      </c>
    </row>
    <row r="21" spans="1:29" x14ac:dyDescent="0.25">
      <c r="A21" s="12">
        <v>0.17999954500000001</v>
      </c>
      <c r="B21" s="12">
        <v>-8426.9248050000006</v>
      </c>
      <c r="C21" s="26"/>
      <c r="D21" s="12">
        <v>0.17999954500000001</v>
      </c>
      <c r="E21" s="12">
        <v>-1429.139404</v>
      </c>
      <c r="F21" s="28"/>
      <c r="G21" s="12">
        <v>0.17999954500000001</v>
      </c>
      <c r="H21" s="12">
        <v>-8426.9248050000006</v>
      </c>
      <c r="I21" s="26"/>
      <c r="J21" s="12">
        <v>0.17999954500000001</v>
      </c>
      <c r="K21" s="12">
        <v>-1429.139404</v>
      </c>
      <c r="M21" s="30">
        <f t="shared" si="0"/>
        <v>0.17999954500000001</v>
      </c>
      <c r="N21" s="30">
        <f t="shared" si="1"/>
        <v>-850.03369814200005</v>
      </c>
      <c r="O21" s="30">
        <f t="shared" si="2"/>
        <v>-53.733960429415013</v>
      </c>
      <c r="P21" s="30">
        <f>O21/1000+'Начальные условия и парам.'!$G$21+'Начальные условия и парам.'!$K$19*'аксел-ры 1 и 2 и интегр-ие  '!M21</f>
        <v>3.0942283618340602</v>
      </c>
      <c r="Q21" s="30">
        <f t="shared" si="3"/>
        <v>0.17999954500000001</v>
      </c>
      <c r="R21" s="30">
        <f t="shared" si="4"/>
        <v>-850.03369814200005</v>
      </c>
      <c r="S21" s="30">
        <f t="shared" si="5"/>
        <v>-53.733960429415013</v>
      </c>
      <c r="T21" s="30">
        <f>S21/1000+'Начальные условия и парам.'!$M$21+'Начальные условия и парам.'!$K$19*'аксел-ры 1 и 2 и интегр-ие  '!Q21</f>
        <v>4.9736136034058767</v>
      </c>
      <c r="V21" s="30">
        <f t="shared" si="6"/>
        <v>0.17999954500000001</v>
      </c>
      <c r="W21" s="30">
        <f t="shared" si="7"/>
        <v>938.88670317000003</v>
      </c>
      <c r="X21" s="30">
        <f t="shared" si="8"/>
        <v>59.7852221769</v>
      </c>
      <c r="Y21" s="30">
        <f>X21/1000+'Начальные условия и парам.'!$G$22+'Начальные условия и парам.'!$N$19*'аксел-ры 1 и 2 и интегр-ие  '!V21</f>
        <v>1.9058341190214056</v>
      </c>
      <c r="Z21" s="30">
        <f t="shared" si="9"/>
        <v>0.17999954500000001</v>
      </c>
      <c r="AA21" s="30">
        <f t="shared" si="10"/>
        <v>938.88670317000003</v>
      </c>
      <c r="AB21" s="30">
        <f t="shared" si="11"/>
        <v>59.7852221769</v>
      </c>
      <c r="AC21" s="30">
        <f>AB21/1000+'Начальные условия и парам.'!$M$22+'Начальные условия и парам.'!$N$19*'аксел-ры 1 и 2 и интегр-ие  '!Z21</f>
        <v>1.2217938323700683</v>
      </c>
    </row>
    <row r="22" spans="1:29" x14ac:dyDescent="0.25">
      <c r="A22" s="12">
        <v>0.18999992299999999</v>
      </c>
      <c r="B22" s="12">
        <v>1135.8443600000001</v>
      </c>
      <c r="C22" s="26"/>
      <c r="D22" s="12">
        <v>0.18999992299999999</v>
      </c>
      <c r="E22" s="12">
        <v>6151.8305659999996</v>
      </c>
      <c r="F22" s="28"/>
      <c r="G22" s="12">
        <v>0.18999992299999999</v>
      </c>
      <c r="H22" s="12">
        <v>1135.8443600000001</v>
      </c>
      <c r="I22" s="26"/>
      <c r="J22" s="12">
        <v>0.18999992299999999</v>
      </c>
      <c r="K22" s="12">
        <v>6151.8305659999996</v>
      </c>
      <c r="M22" s="30">
        <f t="shared" si="0"/>
        <v>0.18999992299999999</v>
      </c>
      <c r="N22" s="30">
        <f t="shared" si="1"/>
        <v>-886.48910036699999</v>
      </c>
      <c r="O22" s="30">
        <f t="shared" si="2"/>
        <v>-62.416574421960014</v>
      </c>
      <c r="P22" s="30">
        <f>O22/1000+'Начальные условия и парам.'!$G$21+'Начальные условия и парам.'!$K$19*'аксел-ры 1 и 2 и интегр-ие  '!M22</f>
        <v>3.2604395963364796</v>
      </c>
      <c r="Q22" s="30">
        <f t="shared" si="3"/>
        <v>0.18999992299999999</v>
      </c>
      <c r="R22" s="30">
        <f t="shared" si="4"/>
        <v>-886.48910036699999</v>
      </c>
      <c r="S22" s="30">
        <f t="shared" si="5"/>
        <v>-62.416574421960014</v>
      </c>
      <c r="T22" s="30">
        <f>S22/1000+'Начальные условия и парам.'!$M$21+'Начальные условия и парам.'!$K$19*'аксел-ры 1 и 2 и интегр-ие  '!Q22</f>
        <v>5.1398248379082965</v>
      </c>
      <c r="V22" s="30">
        <f t="shared" si="6"/>
        <v>0.18999992299999999</v>
      </c>
      <c r="W22" s="30">
        <f t="shared" si="7"/>
        <v>962.50015898000004</v>
      </c>
      <c r="X22" s="30">
        <f t="shared" si="8"/>
        <v>69.292156487650004</v>
      </c>
      <c r="Y22" s="30">
        <f>X22/1000+'Начальные условия и парам.'!$G$22+'Начальные условия и парам.'!$N$19*'аксел-ры 1 и 2 и интегр-ие  '!V22</f>
        <v>1.8516848983237255</v>
      </c>
      <c r="Z22" s="30">
        <f t="shared" si="9"/>
        <v>0.18999992299999999</v>
      </c>
      <c r="AA22" s="30">
        <f t="shared" si="10"/>
        <v>962.50015898000004</v>
      </c>
      <c r="AB22" s="30">
        <f t="shared" si="11"/>
        <v>69.292156487650004</v>
      </c>
      <c r="AC22" s="30">
        <f>AB22/1000+'Начальные условия и парам.'!$M$22+'Начальные условия и парам.'!$N$19*'аксел-ры 1 и 2 и интегр-ие  '!Z22</f>
        <v>1.1676446116723882</v>
      </c>
    </row>
    <row r="23" spans="1:29" x14ac:dyDescent="0.25">
      <c r="A23" s="12">
        <v>0.19999977899999999</v>
      </c>
      <c r="B23" s="12">
        <v>7948.2236329999996</v>
      </c>
      <c r="C23" s="26"/>
      <c r="D23" s="12">
        <v>0.19999977899999999</v>
      </c>
      <c r="E23" s="12">
        <v>14488.356449999999</v>
      </c>
      <c r="F23" s="28"/>
      <c r="G23" s="12">
        <v>0.19999977899999999</v>
      </c>
      <c r="H23" s="12">
        <v>7948.2236329999996</v>
      </c>
      <c r="I23" s="26"/>
      <c r="J23" s="12">
        <v>0.19999977899999999</v>
      </c>
      <c r="K23" s="12">
        <v>14488.356449999999</v>
      </c>
      <c r="M23" s="30">
        <f t="shared" si="0"/>
        <v>0.19999977899999999</v>
      </c>
      <c r="N23" s="30">
        <f t="shared" si="1"/>
        <v>-841.06876040199995</v>
      </c>
      <c r="O23" s="30">
        <f t="shared" si="2"/>
        <v>-71.054363725805018</v>
      </c>
      <c r="P23" s="30">
        <f>O23/1000+'Начальные условия и парам.'!$G$21+'Начальные условия и парам.'!$K$19*'аксел-ры 1 и 2 и интегр-ие  '!M23</f>
        <v>3.4266865264137878</v>
      </c>
      <c r="Q23" s="30">
        <f t="shared" si="3"/>
        <v>0.19999977899999999</v>
      </c>
      <c r="R23" s="30">
        <f t="shared" si="4"/>
        <v>-841.06876040199995</v>
      </c>
      <c r="S23" s="30">
        <f t="shared" si="5"/>
        <v>-71.054363725805018</v>
      </c>
      <c r="T23" s="30">
        <f>S23/1000+'Начальные условия и парам.'!$M$21+'Начальные условия и парам.'!$K$19*'аксел-ры 1 и 2 и интегр-ие  '!Q23</f>
        <v>5.3060717679856051</v>
      </c>
      <c r="V23" s="30">
        <f t="shared" si="6"/>
        <v>0.19999977899999999</v>
      </c>
      <c r="W23" s="30">
        <f t="shared" si="7"/>
        <v>1065.7010940600001</v>
      </c>
      <c r="X23" s="30">
        <f t="shared" si="8"/>
        <v>79.433162752850009</v>
      </c>
      <c r="Y23" s="30">
        <f>X23/1000+'Начальные условия и парам.'!$G$22+'Начальные условия и парам.'!$N$19*'аксел-ры 1 и 2 и интегр-ие  '!V23</f>
        <v>1.7981730723061882</v>
      </c>
      <c r="Z23" s="30">
        <f t="shared" si="9"/>
        <v>0.19999977899999999</v>
      </c>
      <c r="AA23" s="30">
        <f t="shared" si="10"/>
        <v>1065.7010940600001</v>
      </c>
      <c r="AB23" s="30">
        <f t="shared" si="11"/>
        <v>79.433162752850009</v>
      </c>
      <c r="AC23" s="30">
        <f>AB23/1000+'Начальные условия и парам.'!$M$22+'Начальные условия и парам.'!$N$19*'аксел-ры 1 и 2 и интегр-ие  '!Z23</f>
        <v>1.1141327856548509</v>
      </c>
    </row>
    <row r="24" spans="1:29" x14ac:dyDescent="0.25">
      <c r="A24" s="12">
        <v>0.20999965100000001</v>
      </c>
      <c r="B24" s="12">
        <v>3423.9379880000001</v>
      </c>
      <c r="C24" s="26"/>
      <c r="D24" s="12">
        <v>0.20999965100000001</v>
      </c>
      <c r="E24" s="12">
        <v>16770.203130000002</v>
      </c>
      <c r="F24" s="28"/>
      <c r="G24" s="12">
        <v>0.20999965100000001</v>
      </c>
      <c r="H24" s="12">
        <v>3423.9379880000001</v>
      </c>
      <c r="I24" s="26"/>
      <c r="J24" s="12">
        <v>0.20999965100000001</v>
      </c>
      <c r="K24" s="12">
        <v>16770.203130000002</v>
      </c>
      <c r="M24" s="30">
        <f t="shared" si="0"/>
        <v>0.20999965100000001</v>
      </c>
      <c r="N24" s="30">
        <f t="shared" si="1"/>
        <v>-784.20795229699991</v>
      </c>
      <c r="O24" s="30">
        <f t="shared" si="2"/>
        <v>-79.180747289300015</v>
      </c>
      <c r="P24" s="30">
        <f>O24/1000+'Начальные условия и парам.'!$G$21+'Начальные условия и парам.'!$K$19*'аксел-ры 1 и 2 и интегр-ие  '!M24</f>
        <v>3.5934451420510278</v>
      </c>
      <c r="Q24" s="30">
        <f t="shared" si="3"/>
        <v>0.20999965100000001</v>
      </c>
      <c r="R24" s="30">
        <f t="shared" si="4"/>
        <v>-784.20795229699991</v>
      </c>
      <c r="S24" s="30">
        <f t="shared" si="5"/>
        <v>-79.180747289300015</v>
      </c>
      <c r="T24" s="30">
        <f>S24/1000+'Начальные условия и парам.'!$M$21+'Начальные условия и парам.'!$K$19*'аксел-ры 1 и 2 и интегр-ие  '!Q24</f>
        <v>5.4728303836228447</v>
      </c>
      <c r="V24" s="30">
        <f t="shared" si="6"/>
        <v>0.20999965100000001</v>
      </c>
      <c r="W24" s="30">
        <f t="shared" si="7"/>
        <v>1221.9938919600002</v>
      </c>
      <c r="X24" s="30">
        <f t="shared" si="8"/>
        <v>90.871637682950009</v>
      </c>
      <c r="Y24" s="30">
        <f>X24/1000+'Начальные условия и парам.'!$G$22+'Начальные условия и парам.'!$N$19*'аксел-ры 1 и 2 и интегр-ие  '!V24</f>
        <v>1.7459586131075522</v>
      </c>
      <c r="Z24" s="30">
        <f t="shared" si="9"/>
        <v>0.20999965100000001</v>
      </c>
      <c r="AA24" s="30">
        <f t="shared" si="10"/>
        <v>1221.9938919600002</v>
      </c>
      <c r="AB24" s="30">
        <f t="shared" si="11"/>
        <v>90.871637682950009</v>
      </c>
      <c r="AC24" s="30">
        <f>AB24/1000+'Начальные условия и парам.'!$M$22+'Начальные условия и парам.'!$N$19*'аксел-ры 1 и 2 и интегр-ие  '!Z24</f>
        <v>1.0619183264562149</v>
      </c>
    </row>
    <row r="25" spans="1:29" x14ac:dyDescent="0.25">
      <c r="A25" s="12">
        <v>0.22000001399999999</v>
      </c>
      <c r="B25" s="12">
        <v>-8408.1171880000002</v>
      </c>
      <c r="C25" s="26"/>
      <c r="D25" s="12">
        <v>0.22000001399999999</v>
      </c>
      <c r="E25" s="12">
        <v>14776.91699</v>
      </c>
      <c r="F25" s="28"/>
      <c r="G25" s="12">
        <v>0.22000001399999999</v>
      </c>
      <c r="H25" s="12">
        <v>-8408.1171880000002</v>
      </c>
      <c r="I25" s="26"/>
      <c r="J25" s="12">
        <v>0.22000001399999999</v>
      </c>
      <c r="K25" s="12">
        <v>14776.91699</v>
      </c>
      <c r="M25" s="30">
        <f t="shared" si="0"/>
        <v>0.22000001399999999</v>
      </c>
      <c r="N25" s="30">
        <f t="shared" si="1"/>
        <v>-809.12884829699988</v>
      </c>
      <c r="O25" s="30">
        <f t="shared" si="2"/>
        <v>-87.147431292270014</v>
      </c>
      <c r="P25" s="30">
        <f>O25/1000+'Начальные условия и парам.'!$G$21+'Начальные условия и парам.'!$K$19*'аксел-ры 1 и 2 и интегр-ие  '!M25</f>
        <v>3.7603720442121653</v>
      </c>
      <c r="Q25" s="30">
        <f t="shared" si="3"/>
        <v>0.22000001399999999</v>
      </c>
      <c r="R25" s="30">
        <f t="shared" si="4"/>
        <v>-809.12884829699988</v>
      </c>
      <c r="S25" s="30">
        <f t="shared" si="5"/>
        <v>-87.147431292270014</v>
      </c>
      <c r="T25" s="30">
        <f>S25/1000+'Начальные условия и парам.'!$M$21+'Начальные условия и парам.'!$K$19*'аксел-ры 1 и 2 и интегр-ие  '!Q25</f>
        <v>5.6397572857839826</v>
      </c>
      <c r="V25" s="30">
        <f t="shared" si="6"/>
        <v>0.22000001399999999</v>
      </c>
      <c r="W25" s="30">
        <f t="shared" si="7"/>
        <v>1379.7294925600002</v>
      </c>
      <c r="X25" s="30">
        <f t="shared" si="8"/>
        <v>103.88025460555001</v>
      </c>
      <c r="Y25" s="30">
        <f>X25/1000+'Начальные условия и парам.'!$G$22+'Начальные условия и парам.'!$N$19*'аксел-ры 1 и 2 и интегр-ие  '!V25</f>
        <v>1.6953111705023458</v>
      </c>
      <c r="Z25" s="30">
        <f t="shared" si="9"/>
        <v>0.22000001399999999</v>
      </c>
      <c r="AA25" s="30">
        <f t="shared" si="10"/>
        <v>1379.7294925600002</v>
      </c>
      <c r="AB25" s="30">
        <f t="shared" si="11"/>
        <v>103.88025460555001</v>
      </c>
      <c r="AC25" s="30">
        <f>AB25/1000+'Начальные условия и парам.'!$M$22+'Начальные условия и парам.'!$N$19*'аксел-ры 1 и 2 и интегр-ие  '!Z25</f>
        <v>1.0112708838510085</v>
      </c>
    </row>
    <row r="26" spans="1:29" x14ac:dyDescent="0.25">
      <c r="A26" s="12">
        <v>0.22999987</v>
      </c>
      <c r="B26" s="12">
        <v>-17744.921880000002</v>
      </c>
      <c r="C26" s="26"/>
      <c r="D26" s="12">
        <v>0.22999987</v>
      </c>
      <c r="E26" s="12">
        <v>14243.26563</v>
      </c>
      <c r="F26" s="28"/>
      <c r="G26" s="12">
        <v>0.22999987</v>
      </c>
      <c r="H26" s="12">
        <v>-17744.921880000002</v>
      </c>
      <c r="I26" s="26"/>
      <c r="J26" s="12">
        <v>0.22999987</v>
      </c>
      <c r="K26" s="12">
        <v>14243.26563</v>
      </c>
      <c r="M26" s="30">
        <f t="shared" si="0"/>
        <v>0.22999987</v>
      </c>
      <c r="N26" s="30">
        <f t="shared" si="1"/>
        <v>-939.89404363699987</v>
      </c>
      <c r="O26" s="30">
        <f t="shared" si="2"/>
        <v>-95.89254575194002</v>
      </c>
      <c r="P26" s="30">
        <f>O26/1000+'Начальные условия и парам.'!$G$21+'Начальные условия и парам.'!$K$19*'аксел-ры 1 и 2 и интегр-ие  '!M26</f>
        <v>3.9265116491336491</v>
      </c>
      <c r="Q26" s="30">
        <f t="shared" si="3"/>
        <v>0.22999987</v>
      </c>
      <c r="R26" s="30">
        <f t="shared" si="4"/>
        <v>-939.89404363699987</v>
      </c>
      <c r="S26" s="30">
        <f t="shared" si="5"/>
        <v>-95.89254575194002</v>
      </c>
      <c r="T26" s="30">
        <f>S26/1000+'Начальные условия и парам.'!$M$21+'Начальные условия и парам.'!$K$19*'аксел-ры 1 и 2 и интегр-ие  '!Q26</f>
        <v>5.8058968907054664</v>
      </c>
      <c r="V26" s="30">
        <f t="shared" si="6"/>
        <v>0.22999987</v>
      </c>
      <c r="W26" s="30">
        <f t="shared" si="7"/>
        <v>1524.8304056600002</v>
      </c>
      <c r="X26" s="30">
        <f t="shared" si="8"/>
        <v>118.40305409665001</v>
      </c>
      <c r="Y26" s="30">
        <f>X26/1000+'Начальные условия и парам.'!$G$22+'Начальные условия и парам.'!$N$19*'аксел-ры 1 и 2 и интегр-ие  '!V26</f>
        <v>1.6461811377107081</v>
      </c>
      <c r="Z26" s="30">
        <f t="shared" si="9"/>
        <v>0.22999987</v>
      </c>
      <c r="AA26" s="30">
        <f t="shared" si="10"/>
        <v>1524.8304056600002</v>
      </c>
      <c r="AB26" s="30">
        <f t="shared" si="11"/>
        <v>118.40305409665001</v>
      </c>
      <c r="AC26" s="30">
        <f>AB26/1000+'Начальные условия и парам.'!$M$22+'Начальные условия и парам.'!$N$19*'аксел-ры 1 и 2 и интегр-ие  '!Z26</f>
        <v>0.96214085105937075</v>
      </c>
    </row>
    <row r="27" spans="1:29" x14ac:dyDescent="0.25">
      <c r="A27" s="12">
        <v>0.23999974099999999</v>
      </c>
      <c r="B27" s="12">
        <v>-18893.527340000001</v>
      </c>
      <c r="C27" s="26"/>
      <c r="D27" s="12">
        <v>0.23999974099999999</v>
      </c>
      <c r="E27" s="12">
        <v>15880.128909999999</v>
      </c>
      <c r="F27" s="28"/>
      <c r="G27" s="12">
        <v>0.23999974099999999</v>
      </c>
      <c r="H27" s="12">
        <v>-18893.527340000001</v>
      </c>
      <c r="I27" s="26"/>
      <c r="J27" s="12">
        <v>0.23999974099999999</v>
      </c>
      <c r="K27" s="12">
        <v>15880.128909999999</v>
      </c>
      <c r="M27" s="30">
        <f t="shared" si="0"/>
        <v>0.23999974099999999</v>
      </c>
      <c r="N27" s="30">
        <f t="shared" si="1"/>
        <v>-1123.0862897369998</v>
      </c>
      <c r="O27" s="30">
        <f t="shared" si="2"/>
        <v>-106.20744741881002</v>
      </c>
      <c r="P27" s="30">
        <f>O27/1000+'Начальные условия и парам.'!$G$21+'Начальные условия и парам.'!$K$19*'аксел-ры 1 и 2 и интегр-ие  '!M27</f>
        <v>4.0910817291787893</v>
      </c>
      <c r="Q27" s="30">
        <f t="shared" si="3"/>
        <v>0.23999974099999999</v>
      </c>
      <c r="R27" s="30">
        <f t="shared" si="4"/>
        <v>-1123.0862897369998</v>
      </c>
      <c r="S27" s="30">
        <f t="shared" si="5"/>
        <v>-106.20744741881002</v>
      </c>
      <c r="T27" s="30">
        <f>S27/1000+'Начальные условия и парам.'!$M$21+'Начальные условия и парам.'!$K$19*'аксел-ры 1 и 2 и интегр-ие  '!Q27</f>
        <v>5.9704669707506062</v>
      </c>
      <c r="V27" s="30">
        <f t="shared" si="6"/>
        <v>0.23999974099999999</v>
      </c>
      <c r="W27" s="30">
        <f t="shared" si="7"/>
        <v>1675.4473783600001</v>
      </c>
      <c r="X27" s="30">
        <f t="shared" si="8"/>
        <v>134.40444301675001</v>
      </c>
      <c r="Y27" s="30">
        <f>X27/1000+'Начальные условия и парам.'!$G$22+'Начальные условия и парам.'!$N$19*'аксел-ры 1 и 2 и интегр-ие  '!V27</f>
        <v>1.5985295988674471</v>
      </c>
      <c r="Z27" s="30">
        <f t="shared" si="9"/>
        <v>0.23999974099999999</v>
      </c>
      <c r="AA27" s="30">
        <f t="shared" si="10"/>
        <v>1675.4473783600001</v>
      </c>
      <c r="AB27" s="30">
        <f t="shared" si="11"/>
        <v>134.40444301675001</v>
      </c>
      <c r="AC27" s="30">
        <f>AB27/1000+'Начальные условия и парам.'!$M$22+'Начальные условия и парам.'!$N$19*'аксел-ры 1 и 2 и интегр-ие  '!Z27</f>
        <v>0.91448931221610974</v>
      </c>
    </row>
    <row r="28" spans="1:29" x14ac:dyDescent="0.25">
      <c r="A28" s="12">
        <v>0.24999959799999999</v>
      </c>
      <c r="B28" s="12">
        <v>-12237.64941</v>
      </c>
      <c r="C28" s="26"/>
      <c r="D28" s="12">
        <v>0.24999959799999999</v>
      </c>
      <c r="E28" s="12">
        <v>15289.224609999999</v>
      </c>
      <c r="F28" s="28"/>
      <c r="G28" s="12">
        <v>0.24999959799999999</v>
      </c>
      <c r="H28" s="12">
        <v>-12237.64941</v>
      </c>
      <c r="I28" s="26"/>
      <c r="J28" s="12">
        <v>0.24999959799999999</v>
      </c>
      <c r="K28" s="12">
        <v>15289.224609999999</v>
      </c>
      <c r="M28" s="30">
        <f t="shared" si="0"/>
        <v>0.24999959799999999</v>
      </c>
      <c r="N28" s="30">
        <f t="shared" si="1"/>
        <v>-1278.7421734869997</v>
      </c>
      <c r="O28" s="30">
        <f t="shared" si="2"/>
        <v>-118.21658973493001</v>
      </c>
      <c r="P28" s="30">
        <f>O28/1000+'Начальные условия и парам.'!$G$21+'Начальные условия и парам.'!$K$19*'аксел-ры 1 и 2 и интегр-ие  '!M28</f>
        <v>4.2539573237325472</v>
      </c>
      <c r="Q28" s="30">
        <f t="shared" si="3"/>
        <v>0.24999959799999999</v>
      </c>
      <c r="R28" s="30">
        <f t="shared" si="4"/>
        <v>-1278.7421734869997</v>
      </c>
      <c r="S28" s="30">
        <f t="shared" si="5"/>
        <v>-118.21658973493001</v>
      </c>
      <c r="T28" s="30">
        <f>S28/1000+'Начальные условия и парам.'!$M$21+'Начальные условия и парам.'!$K$19*'аксел-ры 1 и 2 и интегр-ие  '!Q28</f>
        <v>6.1333425653043641</v>
      </c>
      <c r="V28" s="30">
        <f t="shared" si="6"/>
        <v>0.24999959799999999</v>
      </c>
      <c r="W28" s="30">
        <f t="shared" si="7"/>
        <v>1831.2941459600002</v>
      </c>
      <c r="X28" s="30">
        <f t="shared" si="8"/>
        <v>151.93815063835001</v>
      </c>
      <c r="Y28" s="30">
        <f>X28/1000+'Начальные условия и парам.'!$G$22+'Начальные условия и парам.'!$N$19*'аксел-ры 1 и 2 и интегр-ие  '!V28</f>
        <v>1.5524104678409349</v>
      </c>
      <c r="Z28" s="30">
        <f t="shared" si="9"/>
        <v>0.24999959799999999</v>
      </c>
      <c r="AA28" s="30">
        <f t="shared" si="10"/>
        <v>1831.2941459600002</v>
      </c>
      <c r="AB28" s="30">
        <f t="shared" si="11"/>
        <v>151.93815063835001</v>
      </c>
      <c r="AC28" s="30">
        <f>AB28/1000+'Начальные условия и парам.'!$M$22+'Начальные условия и парам.'!$N$19*'аксел-ры 1 и 2 и интегр-ие  '!Z28</f>
        <v>0.86837018118959763</v>
      </c>
    </row>
    <row r="29" spans="1:29" x14ac:dyDescent="0.25">
      <c r="A29" s="12">
        <v>0.259999961</v>
      </c>
      <c r="B29" s="12">
        <v>-4051.3566900000001</v>
      </c>
      <c r="C29" s="26"/>
      <c r="D29" s="12">
        <v>0.259999961</v>
      </c>
      <c r="E29" s="12">
        <v>10601.57617</v>
      </c>
      <c r="F29" s="28"/>
      <c r="G29" s="12">
        <v>0.259999961</v>
      </c>
      <c r="H29" s="12">
        <v>-4051.3566900000001</v>
      </c>
      <c r="I29" s="26"/>
      <c r="J29" s="12">
        <v>0.259999961</v>
      </c>
      <c r="K29" s="12">
        <v>10601.57617</v>
      </c>
      <c r="M29" s="30">
        <f t="shared" si="0"/>
        <v>0.259999961</v>
      </c>
      <c r="N29" s="30">
        <f t="shared" si="1"/>
        <v>-1360.1872039869997</v>
      </c>
      <c r="O29" s="30">
        <f t="shared" si="2"/>
        <v>-131.41123662230001</v>
      </c>
      <c r="P29" s="30">
        <f>O29/1000+'Начальные условия и парам.'!$G$21+'Начальные условия и парам.'!$K$19*'аксел-ры 1 и 2 и интегр-ие  '!M29</f>
        <v>4.4156562630092848</v>
      </c>
      <c r="Q29" s="30">
        <f t="shared" si="3"/>
        <v>0.259999961</v>
      </c>
      <c r="R29" s="30">
        <f t="shared" si="4"/>
        <v>-1360.1872039869997</v>
      </c>
      <c r="S29" s="30">
        <f t="shared" si="5"/>
        <v>-131.41123662230001</v>
      </c>
      <c r="T29" s="30">
        <f>S29/1000+'Начальные условия и парам.'!$M$21+'Начальные условия и парам.'!$K$19*'аксел-ры 1 и 2 и интегр-ие  '!Q29</f>
        <v>6.2950415045811017</v>
      </c>
      <c r="V29" s="30">
        <f t="shared" si="6"/>
        <v>0.259999961</v>
      </c>
      <c r="W29" s="30">
        <f t="shared" si="7"/>
        <v>1960.7481498600002</v>
      </c>
      <c r="X29" s="30">
        <f t="shared" si="8"/>
        <v>170.89836211745001</v>
      </c>
      <c r="Y29" s="30">
        <f>X29/1000+'Начальные условия и парам.'!$G$22+'Начальные условия и парам.'!$N$19*'аксел-ры 1 и 2 и интегр-ие  '!V29</f>
        <v>1.507714619792228</v>
      </c>
      <c r="Z29" s="30">
        <f t="shared" si="9"/>
        <v>0.259999961</v>
      </c>
      <c r="AA29" s="30">
        <f t="shared" si="10"/>
        <v>1960.7481498600002</v>
      </c>
      <c r="AB29" s="30">
        <f t="shared" si="11"/>
        <v>170.89836211745001</v>
      </c>
      <c r="AC29" s="30">
        <f>AB29/1000+'Начальные условия и парам.'!$M$22+'Начальные условия и парам.'!$N$19*'аксел-ры 1 и 2 и интегр-ие  '!Z29</f>
        <v>0.82367433314089067</v>
      </c>
    </row>
    <row r="30" spans="1:29" x14ac:dyDescent="0.25">
      <c r="A30" s="12">
        <v>0.269999832</v>
      </c>
      <c r="B30" s="12">
        <v>172.52528380000001</v>
      </c>
      <c r="C30" s="26"/>
      <c r="D30" s="12">
        <v>0.269999832</v>
      </c>
      <c r="E30" s="12">
        <v>5147.21875</v>
      </c>
      <c r="F30" s="28"/>
      <c r="G30" s="12">
        <v>0.269999832</v>
      </c>
      <c r="H30" s="12">
        <v>172.52528380000001</v>
      </c>
      <c r="I30" s="26"/>
      <c r="J30" s="12">
        <v>0.269999832</v>
      </c>
      <c r="K30" s="12">
        <v>5147.21875</v>
      </c>
      <c r="M30" s="30">
        <f t="shared" si="0"/>
        <v>0.269999832</v>
      </c>
      <c r="N30" s="30">
        <f t="shared" si="1"/>
        <v>-1379.5813610179998</v>
      </c>
      <c r="O30" s="30">
        <f t="shared" si="2"/>
        <v>-145.11007944732501</v>
      </c>
      <c r="P30" s="30">
        <f>O30/1000+'Начальные условия и парам.'!$G$21+'Начальные условия и парам.'!$K$19*'аксел-ры 1 и 2 и интегр-ие  '!M30</f>
        <v>4.5768424018962701</v>
      </c>
      <c r="Q30" s="30">
        <f t="shared" si="3"/>
        <v>0.269999832</v>
      </c>
      <c r="R30" s="30">
        <f t="shared" si="4"/>
        <v>-1379.5813610179998</v>
      </c>
      <c r="S30" s="30">
        <f t="shared" si="5"/>
        <v>-145.11007944732501</v>
      </c>
      <c r="T30" s="30">
        <f>S30/1000+'Начальные условия и парам.'!$M$21+'Начальные условия и парам.'!$K$19*'аксел-ры 1 и 2 и интегр-ие  '!Q30</f>
        <v>6.456227643468087</v>
      </c>
      <c r="V30" s="30">
        <f t="shared" si="6"/>
        <v>0.269999832</v>
      </c>
      <c r="W30" s="30">
        <f t="shared" si="7"/>
        <v>2039.4921244600002</v>
      </c>
      <c r="X30" s="30">
        <f t="shared" si="8"/>
        <v>190.89956348905002</v>
      </c>
      <c r="Y30" s="30">
        <f>X30/1000+'Начальные условия и парам.'!$G$22+'Начальные условия и парам.'!$N$19*'аксел-ры 1 и 2 и интегр-ие  '!V30</f>
        <v>1.4640628934004671</v>
      </c>
      <c r="Z30" s="30">
        <f t="shared" si="9"/>
        <v>0.269999832</v>
      </c>
      <c r="AA30" s="30">
        <f t="shared" si="10"/>
        <v>2039.4921244600002</v>
      </c>
      <c r="AB30" s="30">
        <f t="shared" si="11"/>
        <v>190.89956348905002</v>
      </c>
      <c r="AC30" s="30">
        <f>AB30/1000+'Начальные условия и парам.'!$M$22+'Начальные условия и парам.'!$N$19*'аксел-ры 1 и 2 и интегр-ие  '!Z30</f>
        <v>0.78002260674912982</v>
      </c>
    </row>
    <row r="31" spans="1:29" x14ac:dyDescent="0.25">
      <c r="A31" s="12">
        <v>0.27999970299999999</v>
      </c>
      <c r="B31" s="12">
        <v>2239.945068</v>
      </c>
      <c r="C31" s="26"/>
      <c r="D31" s="12">
        <v>0.27999970299999999</v>
      </c>
      <c r="E31" s="12">
        <v>3752.821289</v>
      </c>
      <c r="F31" s="28"/>
      <c r="G31" s="12">
        <v>0.27999970299999999</v>
      </c>
      <c r="H31" s="12">
        <v>2239.945068</v>
      </c>
      <c r="I31" s="26"/>
      <c r="J31" s="12">
        <v>0.27999970299999999</v>
      </c>
      <c r="K31" s="12">
        <v>3752.821289</v>
      </c>
      <c r="M31" s="30">
        <f t="shared" si="0"/>
        <v>0.27999970299999999</v>
      </c>
      <c r="N31" s="30">
        <f t="shared" si="1"/>
        <v>-1367.5190092589999</v>
      </c>
      <c r="O31" s="30">
        <f t="shared" si="2"/>
        <v>-158.84558129871002</v>
      </c>
      <c r="P31" s="30">
        <f>O31/1000+'Начальные условия и парам.'!$G$21+'Начальные условия и парам.'!$K$19*'аксел-ры 1 и 2 и интегр-ие  '!M31</f>
        <v>4.7379918817568951</v>
      </c>
      <c r="Q31" s="30">
        <f t="shared" si="3"/>
        <v>0.27999970299999999</v>
      </c>
      <c r="R31" s="30">
        <f t="shared" si="4"/>
        <v>-1367.5190092589999</v>
      </c>
      <c r="S31" s="30">
        <f t="shared" si="5"/>
        <v>-158.84558129871002</v>
      </c>
      <c r="T31" s="30">
        <f>S31/1000+'Начальные условия и парам.'!$M$21+'Начальные условия и парам.'!$K$19*'аксел-ры 1 и 2 и интегр-ие  '!Q31</f>
        <v>6.617377123328712</v>
      </c>
      <c r="V31" s="30">
        <f t="shared" si="6"/>
        <v>0.27999970299999999</v>
      </c>
      <c r="W31" s="30">
        <f t="shared" si="7"/>
        <v>2083.9923246550002</v>
      </c>
      <c r="X31" s="30">
        <f t="shared" si="8"/>
        <v>211.51698573462502</v>
      </c>
      <c r="Y31" s="30">
        <f>X31/1000+'Начальные условия и парам.'!$G$22+'Начальные условия и парам.'!$N$19*'аксел-ры 1 и 2 и интегр-ие  '!V31</f>
        <v>1.4210273878826813</v>
      </c>
      <c r="Z31" s="30">
        <f t="shared" si="9"/>
        <v>0.27999970299999999</v>
      </c>
      <c r="AA31" s="30">
        <f t="shared" si="10"/>
        <v>2083.9923246550002</v>
      </c>
      <c r="AB31" s="30">
        <f t="shared" si="11"/>
        <v>211.51698573462502</v>
      </c>
      <c r="AC31" s="30">
        <f>AB31/1000+'Начальные условия и парам.'!$M$22+'Начальные условия и парам.'!$N$19*'аксел-ры 1 и 2 и интегр-ие  '!Z31</f>
        <v>0.73698710123134403</v>
      </c>
    </row>
    <row r="32" spans="1:29" x14ac:dyDescent="0.25">
      <c r="A32" s="12">
        <v>0.28999954500000003</v>
      </c>
      <c r="B32" s="12">
        <v>2954.7861330000001</v>
      </c>
      <c r="C32" s="26"/>
      <c r="D32" s="12">
        <v>0.28999954500000003</v>
      </c>
      <c r="E32" s="12">
        <v>8139.1328130000002</v>
      </c>
      <c r="F32" s="28"/>
      <c r="G32" s="12">
        <v>0.28999954500000003</v>
      </c>
      <c r="H32" s="12">
        <v>2954.7861330000001</v>
      </c>
      <c r="I32" s="26"/>
      <c r="J32" s="12">
        <v>0.28999954500000003</v>
      </c>
      <c r="K32" s="12">
        <v>8139.1328130000002</v>
      </c>
      <c r="M32" s="30">
        <f t="shared" si="0"/>
        <v>0.28999954500000003</v>
      </c>
      <c r="N32" s="30">
        <f t="shared" si="1"/>
        <v>-1341.5453532539998</v>
      </c>
      <c r="O32" s="30">
        <f t="shared" si="2"/>
        <v>-172.39090311127501</v>
      </c>
      <c r="P32" s="30">
        <f>O32/1000+'Начальные условия и парам.'!$G$21+'Начальные условия и парам.'!$K$19*'аксел-ры 1 и 2 и интегр-ие  '!M32</f>
        <v>4.8993310344833523</v>
      </c>
      <c r="Q32" s="30">
        <f t="shared" si="3"/>
        <v>0.28999954500000003</v>
      </c>
      <c r="R32" s="30">
        <f t="shared" si="4"/>
        <v>-1341.5453532539998</v>
      </c>
      <c r="S32" s="30">
        <f t="shared" si="5"/>
        <v>-172.39090311127501</v>
      </c>
      <c r="T32" s="30">
        <f>S32/1000+'Начальные условия и парам.'!$M$21+'Начальные условия и парам.'!$K$19*'аксел-ры 1 и 2 и интегр-ие  '!Q32</f>
        <v>6.7787162760551691</v>
      </c>
      <c r="V32" s="30">
        <f t="shared" si="6"/>
        <v>0.28999954500000003</v>
      </c>
      <c r="W32" s="30">
        <f t="shared" si="7"/>
        <v>2143.4520951650002</v>
      </c>
      <c r="X32" s="30">
        <f t="shared" si="8"/>
        <v>232.65420783372502</v>
      </c>
      <c r="Y32" s="30">
        <f>X32/1000+'Начальные условия и парам.'!$G$22+'Начальные условия и парам.'!$N$19*'аксел-ры 1 и 2 и интегр-ие  '!V32</f>
        <v>1.3785118668142919</v>
      </c>
      <c r="Z32" s="30">
        <f t="shared" si="9"/>
        <v>0.28999954500000003</v>
      </c>
      <c r="AA32" s="30">
        <f t="shared" si="10"/>
        <v>2143.4520951650002</v>
      </c>
      <c r="AB32" s="30">
        <f t="shared" si="11"/>
        <v>232.65420783372502</v>
      </c>
      <c r="AC32" s="30">
        <f>AB32/1000+'Начальные условия и парам.'!$M$22+'Начальные условия и парам.'!$N$19*'аксел-ры 1 и 2 и интегр-ие  '!Z32</f>
        <v>0.69447158016295463</v>
      </c>
    </row>
    <row r="33" spans="1:29" x14ac:dyDescent="0.25">
      <c r="A33" s="12">
        <v>0.299999923</v>
      </c>
      <c r="B33" s="12">
        <v>-2122.8515630000002</v>
      </c>
      <c r="C33" s="26"/>
      <c r="D33" s="12">
        <v>0.299999923</v>
      </c>
      <c r="E33" s="12">
        <v>13768.965819999999</v>
      </c>
      <c r="F33" s="28"/>
      <c r="G33" s="12">
        <v>0.299999923</v>
      </c>
      <c r="H33" s="12">
        <v>-2122.8515630000002</v>
      </c>
      <c r="I33" s="26"/>
      <c r="J33" s="12">
        <v>0.299999923</v>
      </c>
      <c r="K33" s="12">
        <v>13768.965819999999</v>
      </c>
      <c r="M33" s="30">
        <f t="shared" si="0"/>
        <v>0.299999923</v>
      </c>
      <c r="N33" s="30">
        <f t="shared" si="1"/>
        <v>-1337.3856804039997</v>
      </c>
      <c r="O33" s="30">
        <f t="shared" si="2"/>
        <v>-185.78555827956501</v>
      </c>
      <c r="P33" s="30">
        <f>O33/1000+'Начальные условия и парам.'!$G$21+'Начальные условия и парам.'!$K$19*'аксел-ры 1 и 2 и интегр-ие  '!M33</f>
        <v>5.0608302278100261</v>
      </c>
      <c r="Q33" s="30">
        <f t="shared" si="3"/>
        <v>0.299999923</v>
      </c>
      <c r="R33" s="30">
        <f t="shared" si="4"/>
        <v>-1337.3856804039997</v>
      </c>
      <c r="S33" s="30">
        <f t="shared" si="5"/>
        <v>-185.78555827956501</v>
      </c>
      <c r="T33" s="30">
        <f>S33/1000+'Начальные условия и парам.'!$M$21+'Начальные условия и парам.'!$K$19*'аксел-ры 1 и 2 и интегр-ие  '!Q33</f>
        <v>6.940215469381843</v>
      </c>
      <c r="V33" s="30">
        <f t="shared" si="6"/>
        <v>0.299999923</v>
      </c>
      <c r="W33" s="30">
        <f t="shared" si="7"/>
        <v>2252.9925883300002</v>
      </c>
      <c r="X33" s="30">
        <f t="shared" si="8"/>
        <v>254.63643125120004</v>
      </c>
      <c r="Y33" s="30">
        <f>X33/1000+'Начальные условия и парам.'!$G$22+'Начальные условия и парам.'!$N$19*'аксел-ры 1 и 2 и интегр-ие  '!V33</f>
        <v>1.3368379352233373</v>
      </c>
      <c r="Z33" s="30">
        <f t="shared" si="9"/>
        <v>0.299999923</v>
      </c>
      <c r="AA33" s="30">
        <f t="shared" si="10"/>
        <v>2252.9925883300002</v>
      </c>
      <c r="AB33" s="30">
        <f t="shared" si="11"/>
        <v>254.63643125120004</v>
      </c>
      <c r="AC33" s="30">
        <f>AB33/1000+'Начальные условия и парам.'!$M$22+'Начальные условия и парам.'!$N$19*'аксел-ры 1 и 2 и интегр-ие  '!Z33</f>
        <v>0.65279764857199996</v>
      </c>
    </row>
    <row r="34" spans="1:29" x14ac:dyDescent="0.25">
      <c r="A34" s="12">
        <v>0.309999794</v>
      </c>
      <c r="B34" s="12">
        <v>-11089.414059999999</v>
      </c>
      <c r="C34" s="26"/>
      <c r="D34" s="12">
        <v>0.309999794</v>
      </c>
      <c r="E34" s="12">
        <v>15628.73633</v>
      </c>
      <c r="F34" s="28"/>
      <c r="G34" s="12">
        <v>0.309999794</v>
      </c>
      <c r="H34" s="12">
        <v>-11089.414059999999</v>
      </c>
      <c r="I34" s="26"/>
      <c r="J34" s="12">
        <v>0.309999794</v>
      </c>
      <c r="K34" s="12">
        <v>15628.73633</v>
      </c>
      <c r="M34" s="30">
        <f t="shared" si="0"/>
        <v>0.309999794</v>
      </c>
      <c r="N34" s="30">
        <f t="shared" si="1"/>
        <v>-1403.4470085189996</v>
      </c>
      <c r="O34" s="30">
        <f t="shared" si="2"/>
        <v>-199.48972172418001</v>
      </c>
      <c r="P34" s="30">
        <f>O34/1000+'Начальные условия и парам.'!$G$21+'Начальные условия и парам.'!$K$19*'аксел-ры 1 и 2 и интегр-ие  '!M34</f>
        <v>5.2220110460774212</v>
      </c>
      <c r="Q34" s="30">
        <f t="shared" si="3"/>
        <v>0.309999794</v>
      </c>
      <c r="R34" s="30">
        <f t="shared" si="4"/>
        <v>-1403.4470085189996</v>
      </c>
      <c r="S34" s="30">
        <f t="shared" si="5"/>
        <v>-199.48972172418001</v>
      </c>
      <c r="T34" s="30">
        <f>S34/1000+'Начальные условия и парам.'!$M$21+'Начальные условия и парам.'!$K$19*'аксел-ры 1 и 2 и интегр-ие  '!Q34</f>
        <v>7.101396287649238</v>
      </c>
      <c r="V34" s="30">
        <f t="shared" si="6"/>
        <v>0.309999794</v>
      </c>
      <c r="W34" s="30">
        <f t="shared" si="7"/>
        <v>2399.9810990800001</v>
      </c>
      <c r="X34" s="30">
        <f t="shared" si="8"/>
        <v>277.90129968825005</v>
      </c>
      <c r="Y34" s="30">
        <f>X34/1000+'Начальные условия и парам.'!$G$22+'Начальные условия и парам.'!$N$19*'аксел-ры 1 и 2 и интегр-ие  '!V34</f>
        <v>1.2964498758970264</v>
      </c>
      <c r="Z34" s="30">
        <f t="shared" si="9"/>
        <v>0.309999794</v>
      </c>
      <c r="AA34" s="30">
        <f t="shared" si="10"/>
        <v>2399.9810990800001</v>
      </c>
      <c r="AB34" s="30">
        <f t="shared" si="11"/>
        <v>277.90129968825005</v>
      </c>
      <c r="AC34" s="30">
        <f>AB34/1000+'Начальные условия и парам.'!$M$22+'Начальные условия и парам.'!$N$19*'аксел-ры 1 и 2 и интегр-ие  '!Z34</f>
        <v>0.61240958924568911</v>
      </c>
    </row>
    <row r="35" spans="1:29" x14ac:dyDescent="0.25">
      <c r="A35" s="12">
        <v>0.31999966499999999</v>
      </c>
      <c r="B35" s="12">
        <v>-15159.07617</v>
      </c>
      <c r="C35" s="26"/>
      <c r="D35" s="12">
        <v>0.31999966499999999</v>
      </c>
      <c r="E35" s="12">
        <v>15936.735350000001</v>
      </c>
      <c r="F35" s="28"/>
      <c r="G35" s="12">
        <v>0.31999966499999999</v>
      </c>
      <c r="H35" s="12">
        <v>-15159.07617</v>
      </c>
      <c r="I35" s="26"/>
      <c r="J35" s="12">
        <v>0.31999966499999999</v>
      </c>
      <c r="K35" s="12">
        <v>15936.735350000001</v>
      </c>
      <c r="M35" s="30">
        <f t="shared" si="0"/>
        <v>0.31999966499999999</v>
      </c>
      <c r="N35" s="30">
        <f t="shared" si="1"/>
        <v>-1534.6894596689997</v>
      </c>
      <c r="O35" s="30">
        <f t="shared" si="2"/>
        <v>-214.18040406512</v>
      </c>
      <c r="P35" s="30">
        <f>O35/1000+'Начальные условия и парам.'!$G$21+'Начальные условия и парам.'!$K$19*'аксел-ры 1 и 2 и интегр-ие  '!M35</f>
        <v>5.3822053454484919</v>
      </c>
      <c r="Q35" s="30">
        <f t="shared" si="3"/>
        <v>0.31999966499999999</v>
      </c>
      <c r="R35" s="30">
        <f t="shared" si="4"/>
        <v>-1534.6894596689997</v>
      </c>
      <c r="S35" s="30">
        <f t="shared" si="5"/>
        <v>-214.18040406512</v>
      </c>
      <c r="T35" s="30">
        <f>S35/1000+'Начальные условия и парам.'!$M$21+'Начальные условия и парам.'!$K$19*'аксел-ры 1 и 2 и интегр-ие  '!Q35</f>
        <v>7.2615905870203088</v>
      </c>
      <c r="V35" s="30">
        <f t="shared" si="6"/>
        <v>0.31999966499999999</v>
      </c>
      <c r="W35" s="30">
        <f t="shared" si="7"/>
        <v>2557.80845748</v>
      </c>
      <c r="X35" s="30">
        <f t="shared" si="8"/>
        <v>302.69024747105004</v>
      </c>
      <c r="Y35" s="30">
        <f>X35/1000+'Начальные условия и парам.'!$G$22+'Начальные условия и парам.'!$N$19*'аксел-ры 1 и 2 и интегр-ие  '!V35</f>
        <v>1.2575858959164656</v>
      </c>
      <c r="Z35" s="30">
        <f t="shared" si="9"/>
        <v>0.31999966499999999</v>
      </c>
      <c r="AA35" s="30">
        <f t="shared" si="10"/>
        <v>2557.80845748</v>
      </c>
      <c r="AB35" s="30">
        <f t="shared" si="11"/>
        <v>302.69024747105004</v>
      </c>
      <c r="AC35" s="30">
        <f>AB35/1000+'Начальные условия и парам.'!$M$22+'Начальные условия и парам.'!$N$19*'аксел-ры 1 и 2 и интегр-ие  '!Z35</f>
        <v>0.57354560926512832</v>
      </c>
    </row>
    <row r="36" spans="1:29" x14ac:dyDescent="0.25">
      <c r="A36" s="12">
        <v>0.329999506</v>
      </c>
      <c r="B36" s="12">
        <v>-10922.58203</v>
      </c>
      <c r="C36" s="26"/>
      <c r="D36" s="12">
        <v>0.329999506</v>
      </c>
      <c r="E36" s="12">
        <v>17048.765630000002</v>
      </c>
      <c r="F36" s="28"/>
      <c r="G36" s="12">
        <v>0.329999506</v>
      </c>
      <c r="H36" s="12">
        <v>-10922.58203</v>
      </c>
      <c r="I36" s="26"/>
      <c r="J36" s="12">
        <v>0.329999506</v>
      </c>
      <c r="K36" s="12">
        <v>17048.765630000002</v>
      </c>
      <c r="M36" s="30">
        <f t="shared" si="0"/>
        <v>0.329999506</v>
      </c>
      <c r="N36" s="30">
        <f t="shared" si="1"/>
        <v>-1665.0977506689997</v>
      </c>
      <c r="O36" s="30">
        <f t="shared" si="2"/>
        <v>-230.17934011681001</v>
      </c>
      <c r="P36" s="30">
        <f>O36/1000+'Начальные условия и парам.'!$G$21+'Начальные условия и парам.'!$K$19*'аксел-ры 1 и 2 и интегр-ие  '!M36</f>
        <v>5.5410908664470986</v>
      </c>
      <c r="Q36" s="30">
        <f t="shared" si="3"/>
        <v>0.329999506</v>
      </c>
      <c r="R36" s="30">
        <f t="shared" si="4"/>
        <v>-1665.0977506689997</v>
      </c>
      <c r="S36" s="30">
        <f t="shared" si="5"/>
        <v>-230.17934011681001</v>
      </c>
      <c r="T36" s="30">
        <f>S36/1000+'Начальные условия и парам.'!$M$21+'Начальные условия и парам.'!$K$19*'аксел-ры 1 и 2 и интегр-ие  '!Q36</f>
        <v>7.4204761080189154</v>
      </c>
      <c r="V36" s="30">
        <f t="shared" si="6"/>
        <v>0.329999506</v>
      </c>
      <c r="W36" s="30">
        <f t="shared" si="7"/>
        <v>2722.7359623800003</v>
      </c>
      <c r="X36" s="30">
        <f t="shared" si="8"/>
        <v>329.09296957035002</v>
      </c>
      <c r="Y36" s="30">
        <f>X36/1000+'Начальные условия и парам.'!$G$22+'Начальные условия и парам.'!$N$19*'аксел-ры 1 и 2 и интегр-ие  '!V36</f>
        <v>1.2203358812136513</v>
      </c>
      <c r="Z36" s="30">
        <f t="shared" si="9"/>
        <v>0.329999506</v>
      </c>
      <c r="AA36" s="30">
        <f t="shared" si="10"/>
        <v>2722.7359623800003</v>
      </c>
      <c r="AB36" s="30">
        <f t="shared" si="11"/>
        <v>329.09296957035002</v>
      </c>
      <c r="AC36" s="30">
        <f>AB36/1000+'Начальные условия и парам.'!$M$22+'Начальные условия и парам.'!$N$19*'аксел-ры 1 и 2 и интегр-ие  '!Z36</f>
        <v>0.53629559456231402</v>
      </c>
    </row>
    <row r="37" spans="1:29" x14ac:dyDescent="0.25">
      <c r="A37" s="12">
        <v>0.33999988399999997</v>
      </c>
      <c r="B37" s="12">
        <v>-2406.882568</v>
      </c>
      <c r="C37" s="26"/>
      <c r="D37" s="12">
        <v>0.33999988399999997</v>
      </c>
      <c r="E37" s="12">
        <v>14887.57813</v>
      </c>
      <c r="F37" s="28"/>
      <c r="G37" s="12">
        <v>0.33999988399999997</v>
      </c>
      <c r="H37" s="12">
        <v>-2406.882568</v>
      </c>
      <c r="I37" s="26"/>
      <c r="J37" s="12">
        <v>0.33999988399999997</v>
      </c>
      <c r="K37" s="12">
        <v>14887.57813</v>
      </c>
      <c r="M37" s="30">
        <f t="shared" si="0"/>
        <v>0.33999988399999997</v>
      </c>
      <c r="N37" s="30">
        <f t="shared" si="1"/>
        <v>-1731.7450736589997</v>
      </c>
      <c r="O37" s="30">
        <f t="shared" si="2"/>
        <v>-247.16355423845002</v>
      </c>
      <c r="P37" s="30">
        <f>O37/1000+'Начальные условия и парам.'!$G$21+'Начальные условия и парам.'!$K$19*'аксел-ры 1 и 2 и интегр-ие  '!M37</f>
        <v>5.6990005008204223</v>
      </c>
      <c r="Q37" s="30">
        <f t="shared" si="3"/>
        <v>0.33999988399999997</v>
      </c>
      <c r="R37" s="30">
        <f t="shared" si="4"/>
        <v>-1731.7450736589997</v>
      </c>
      <c r="S37" s="30">
        <f t="shared" si="5"/>
        <v>-247.16355423845002</v>
      </c>
      <c r="T37" s="30">
        <f>S37/1000+'Начальные условия и парам.'!$M$21+'Начальные условия и парам.'!$K$19*'аксел-ры 1 и 2 и интегр-ие  '!Q37</f>
        <v>7.5783857423922392</v>
      </c>
      <c r="V37" s="30">
        <f t="shared" si="6"/>
        <v>0.33999988399999997</v>
      </c>
      <c r="W37" s="30">
        <f t="shared" si="7"/>
        <v>2882.4176811800003</v>
      </c>
      <c r="X37" s="30">
        <f t="shared" si="8"/>
        <v>357.11873778815004</v>
      </c>
      <c r="Y37" s="30">
        <f>X37/1000+'Начальные условия и парам.'!$G$22+'Начальные условия и парам.'!$N$19*'аксел-ры 1 и 2 и интегр-ие  '!V37</f>
        <v>1.1847054944230213</v>
      </c>
      <c r="Z37" s="30">
        <f t="shared" si="9"/>
        <v>0.33999988399999997</v>
      </c>
      <c r="AA37" s="30">
        <f t="shared" si="10"/>
        <v>2882.4176811800003</v>
      </c>
      <c r="AB37" s="30">
        <f t="shared" si="11"/>
        <v>357.11873778815004</v>
      </c>
      <c r="AC37" s="30">
        <f>AB37/1000+'Начальные условия и парам.'!$M$22+'Начальные условия и парам.'!$N$19*'аксел-ры 1 и 2 и интегр-ие  '!Z37</f>
        <v>0.500665207771684</v>
      </c>
    </row>
    <row r="38" spans="1:29" x14ac:dyDescent="0.25">
      <c r="A38" s="12">
        <v>0.349999756</v>
      </c>
      <c r="B38" s="12">
        <v>3989.2883299999999</v>
      </c>
      <c r="C38" s="26"/>
      <c r="D38" s="12">
        <v>0.349999756</v>
      </c>
      <c r="E38" s="12">
        <v>8530.6142579999996</v>
      </c>
      <c r="F38" s="28"/>
      <c r="G38" s="12">
        <v>0.349999756</v>
      </c>
      <c r="H38" s="12">
        <v>3989.2883299999999</v>
      </c>
      <c r="I38" s="26"/>
      <c r="J38" s="12">
        <v>0.349999756</v>
      </c>
      <c r="K38" s="12">
        <v>8530.6142579999996</v>
      </c>
      <c r="M38" s="30">
        <f t="shared" si="0"/>
        <v>0.349999756</v>
      </c>
      <c r="N38" s="30">
        <f t="shared" si="1"/>
        <v>-1723.8330448489996</v>
      </c>
      <c r="O38" s="30">
        <f t="shared" si="2"/>
        <v>-264.44144483099001</v>
      </c>
      <c r="P38" s="30">
        <f>O38/1000+'Начальные условия и парам.'!$G$21+'Начальные условия и парам.'!$K$19*'аксел-ры 1 и 2 и интегр-ие  '!M38</f>
        <v>5.8566076094286172</v>
      </c>
      <c r="Q38" s="30">
        <f t="shared" si="3"/>
        <v>0.349999756</v>
      </c>
      <c r="R38" s="30">
        <f t="shared" si="4"/>
        <v>-1723.8330448489996</v>
      </c>
      <c r="S38" s="30">
        <f t="shared" si="5"/>
        <v>-264.44144483099001</v>
      </c>
      <c r="T38" s="30">
        <f>S38/1000+'Начальные условия и парам.'!$M$21+'Начальные условия и парам.'!$K$19*'аксел-ры 1 и 2 и интегр-ие  '!Q38</f>
        <v>7.7359928510004341</v>
      </c>
      <c r="V38" s="30">
        <f t="shared" si="6"/>
        <v>0.349999756</v>
      </c>
      <c r="W38" s="30">
        <f t="shared" si="7"/>
        <v>2999.5086431200002</v>
      </c>
      <c r="X38" s="30">
        <f t="shared" si="8"/>
        <v>386.52836940965005</v>
      </c>
      <c r="Y38" s="30">
        <f>X38/1000+'Начальные условия и парам.'!$G$22+'Начальные условия и парам.'!$N$19*'аксел-ры 1 и 2 и интегр-ие  '!V38</f>
        <v>1.1504621919157856</v>
      </c>
      <c r="Z38" s="30">
        <f t="shared" si="9"/>
        <v>0.349999756</v>
      </c>
      <c r="AA38" s="30">
        <f t="shared" si="10"/>
        <v>2999.5086431200002</v>
      </c>
      <c r="AB38" s="30">
        <f t="shared" si="11"/>
        <v>386.52836940965005</v>
      </c>
      <c r="AC38" s="30">
        <f>AB38/1000+'Начальные условия и парам.'!$M$22+'Начальные условия и парам.'!$N$19*'аксел-ры 1 и 2 и интегр-ие  '!Z38</f>
        <v>0.46642190526444827</v>
      </c>
    </row>
    <row r="39" spans="1:29" x14ac:dyDescent="0.25">
      <c r="A39" s="12">
        <v>0.359999597</v>
      </c>
      <c r="B39" s="12">
        <v>3844.7683109999998</v>
      </c>
      <c r="C39" s="26"/>
      <c r="D39" s="12">
        <v>0.359999597</v>
      </c>
      <c r="E39" s="12">
        <v>3883.7465820000002</v>
      </c>
      <c r="F39" s="28"/>
      <c r="G39" s="12">
        <v>0.359999597</v>
      </c>
      <c r="H39" s="12">
        <v>3844.7683109999998</v>
      </c>
      <c r="I39" s="26"/>
      <c r="J39" s="12">
        <v>0.359999597</v>
      </c>
      <c r="K39" s="12">
        <v>3883.7465820000002</v>
      </c>
      <c r="M39" s="30">
        <f t="shared" si="0"/>
        <v>0.359999597</v>
      </c>
      <c r="N39" s="30">
        <f t="shared" si="1"/>
        <v>-1684.6627616439996</v>
      </c>
      <c r="O39" s="30">
        <f t="shared" si="2"/>
        <v>-281.483923863455</v>
      </c>
      <c r="P39" s="30">
        <f>O39/1000+'Начальные условия и парам.'!$G$21+'Начальные условия и парам.'!$K$19*'аксел-ры 1 и 2 и интегр-ие  '!M39</f>
        <v>6.0144495874464496</v>
      </c>
      <c r="Q39" s="30">
        <f t="shared" si="3"/>
        <v>0.359999597</v>
      </c>
      <c r="R39" s="30">
        <f t="shared" si="4"/>
        <v>-1684.6627616439996</v>
      </c>
      <c r="S39" s="30">
        <f t="shared" si="5"/>
        <v>-281.483923863455</v>
      </c>
      <c r="T39" s="30">
        <f>S39/1000+'Начальные условия и парам.'!$M$21+'Начальные условия и парам.'!$K$19*'аксел-ры 1 и 2 и интегр-ие  '!Q39</f>
        <v>7.8938348290182665</v>
      </c>
      <c r="V39" s="30">
        <f t="shared" si="6"/>
        <v>0.359999597</v>
      </c>
      <c r="W39" s="30">
        <f t="shared" si="7"/>
        <v>3061.5804473200001</v>
      </c>
      <c r="X39" s="30">
        <f t="shared" si="8"/>
        <v>416.83381486185004</v>
      </c>
      <c r="Y39" s="30">
        <f>X39/1000+'Начальные условия и парам.'!$G$22+'Начальные условия и парам.'!$N$19*'аксел-ры 1 и 2 и интегр-ие  '!V39</f>
        <v>1.1171149005658711</v>
      </c>
      <c r="Z39" s="30">
        <f t="shared" si="9"/>
        <v>0.359999597</v>
      </c>
      <c r="AA39" s="30">
        <f t="shared" si="10"/>
        <v>3061.5804473200001</v>
      </c>
      <c r="AB39" s="30">
        <f t="shared" si="11"/>
        <v>416.83381486185004</v>
      </c>
      <c r="AC39" s="30">
        <f>AB39/1000+'Начальные условия и парам.'!$M$22+'Начальные условия и парам.'!$N$19*'аксел-ры 1 и 2 и интегр-ие  '!Z39</f>
        <v>0.43307461391453383</v>
      </c>
    </row>
    <row r="40" spans="1:29" x14ac:dyDescent="0.25">
      <c r="A40" s="12">
        <v>0.369999468</v>
      </c>
      <c r="B40" s="12">
        <v>-2302.3684079999998</v>
      </c>
      <c r="C40" s="26"/>
      <c r="D40" s="12">
        <v>0.369999468</v>
      </c>
      <c r="E40" s="12">
        <v>3429.0986330000001</v>
      </c>
      <c r="F40" s="28"/>
      <c r="G40" s="12">
        <v>0.369999468</v>
      </c>
      <c r="H40" s="12">
        <v>-2302.3684079999998</v>
      </c>
      <c r="I40" s="26"/>
      <c r="J40" s="12">
        <v>0.369999468</v>
      </c>
      <c r="K40" s="12">
        <v>3429.0986330000001</v>
      </c>
      <c r="M40" s="30">
        <f t="shared" si="0"/>
        <v>0.369999468</v>
      </c>
      <c r="N40" s="30">
        <f t="shared" si="1"/>
        <v>-1676.9507621289997</v>
      </c>
      <c r="O40" s="30">
        <f t="shared" si="2"/>
        <v>-298.29199148231999</v>
      </c>
      <c r="P40" s="30">
        <f>O40/1000+'Начальные условия и парам.'!$G$21+'Начальные условия и парам.'!$K$19*'аксел-ры 1 и 2 и интегр-ие  '!M40</f>
        <v>6.1725265015395943</v>
      </c>
      <c r="Q40" s="30">
        <f t="shared" si="3"/>
        <v>0.369999468</v>
      </c>
      <c r="R40" s="30">
        <f t="shared" si="4"/>
        <v>-1676.9507621289997</v>
      </c>
      <c r="S40" s="30">
        <f t="shared" si="5"/>
        <v>-298.29199148231999</v>
      </c>
      <c r="T40" s="30">
        <f>S40/1000+'Начальные условия и парам.'!$M$21+'Начальные условия и парам.'!$K$19*'аксел-ры 1 и 2 и интегр-ие  '!Q40</f>
        <v>8.0519117431114111</v>
      </c>
      <c r="V40" s="30">
        <f t="shared" si="6"/>
        <v>0.369999468</v>
      </c>
      <c r="W40" s="30">
        <f t="shared" si="7"/>
        <v>3098.1446733950002</v>
      </c>
      <c r="X40" s="30">
        <f t="shared" si="8"/>
        <v>447.63244046542502</v>
      </c>
      <c r="Y40" s="30">
        <f>X40/1000+'Начальные условия и парам.'!$G$22+'Начальные условия и парам.'!$N$19*'аксел-ры 1 и 2 и интегр-ие  '!V40</f>
        <v>1.0842605984060851</v>
      </c>
      <c r="Z40" s="30">
        <f t="shared" si="9"/>
        <v>0.369999468</v>
      </c>
      <c r="AA40" s="30">
        <f t="shared" si="10"/>
        <v>3098.1446733950002</v>
      </c>
      <c r="AB40" s="30">
        <f t="shared" si="11"/>
        <v>447.63244046542502</v>
      </c>
      <c r="AC40" s="30">
        <f>AB40/1000+'Начальные условия и парам.'!$M$22+'Начальные условия и парам.'!$N$19*'аксел-ры 1 и 2 и интегр-ие  '!Z40</f>
        <v>0.40022031175474782</v>
      </c>
    </row>
    <row r="41" spans="1:29" x14ac:dyDescent="0.25">
      <c r="A41" s="12">
        <v>0.37999984599999997</v>
      </c>
      <c r="B41" s="12">
        <v>-10388.11816</v>
      </c>
      <c r="C41" s="26"/>
      <c r="D41" s="12">
        <v>0.37999984599999997</v>
      </c>
      <c r="E41" s="12">
        <v>4079.4194339999999</v>
      </c>
      <c r="F41" s="28"/>
      <c r="G41" s="12">
        <v>0.37999984599999997</v>
      </c>
      <c r="H41" s="12">
        <v>-10388.11816</v>
      </c>
      <c r="I41" s="26"/>
      <c r="J41" s="12">
        <v>0.37999984599999997</v>
      </c>
      <c r="K41" s="12">
        <v>4079.4194339999999</v>
      </c>
      <c r="M41" s="30">
        <f t="shared" si="0"/>
        <v>0.37999984599999997</v>
      </c>
      <c r="N41" s="30">
        <f t="shared" si="1"/>
        <v>-1740.4031949689997</v>
      </c>
      <c r="O41" s="30">
        <f t="shared" si="2"/>
        <v>-315.37876126780998</v>
      </c>
      <c r="P41" s="30">
        <f>O41/1000+'Начальные условия и парам.'!$G$21+'Начальные условия и парам.'!$K$19*'аксел-ры 1 и 2 и интегр-ие  '!M41</f>
        <v>6.3303335802490697</v>
      </c>
      <c r="Q41" s="30">
        <f t="shared" si="3"/>
        <v>0.37999984599999997</v>
      </c>
      <c r="R41" s="30">
        <f t="shared" si="4"/>
        <v>-1740.4031949689997</v>
      </c>
      <c r="S41" s="30">
        <f t="shared" si="5"/>
        <v>-315.37876126780998</v>
      </c>
      <c r="T41" s="30">
        <f>S41/1000+'Начальные условия и парам.'!$M$21+'Начальные условия и парам.'!$K$19*'аксел-ры 1 и 2 и интегр-ие  '!Q41</f>
        <v>8.2097188218208856</v>
      </c>
      <c r="V41" s="30">
        <f t="shared" si="6"/>
        <v>0.37999984599999997</v>
      </c>
      <c r="W41" s="30">
        <f t="shared" si="7"/>
        <v>3135.6872637300003</v>
      </c>
      <c r="X41" s="30">
        <f t="shared" si="8"/>
        <v>478.80160015105002</v>
      </c>
      <c r="Y41" s="30">
        <f>X41/1000+'Начальные условия и парам.'!$G$22+'Начальные условия и парам.'!$N$19*'аксел-ры 1 и 2 и интегр-ие  '!V41</f>
        <v>1.0517736030832805</v>
      </c>
      <c r="Z41" s="30">
        <f t="shared" si="9"/>
        <v>0.37999984599999997</v>
      </c>
      <c r="AA41" s="30">
        <f t="shared" si="10"/>
        <v>3135.6872637300003</v>
      </c>
      <c r="AB41" s="30">
        <f t="shared" si="11"/>
        <v>478.80160015105002</v>
      </c>
      <c r="AC41" s="30">
        <f>AB41/1000+'Начальные условия и парам.'!$M$22+'Начальные условия и парам.'!$N$19*'аксел-ры 1 и 2 и интегр-ие  '!Z41</f>
        <v>0.36773331643194318</v>
      </c>
    </row>
    <row r="42" spans="1:29" x14ac:dyDescent="0.25">
      <c r="A42" s="12">
        <v>0.38999968800000001</v>
      </c>
      <c r="B42" s="12">
        <v>-14907.00684</v>
      </c>
      <c r="C42" s="26"/>
      <c r="D42" s="12">
        <v>0.38999968800000001</v>
      </c>
      <c r="E42" s="12">
        <v>5179.7094729999999</v>
      </c>
      <c r="F42" s="28"/>
      <c r="G42" s="12">
        <v>0.38999968800000001</v>
      </c>
      <c r="H42" s="12">
        <v>-14907.00684</v>
      </c>
      <c r="I42" s="26"/>
      <c r="J42" s="12">
        <v>0.38999968800000001</v>
      </c>
      <c r="K42" s="12">
        <v>5179.7094729999999</v>
      </c>
      <c r="M42" s="30">
        <f t="shared" si="0"/>
        <v>0.38999968800000001</v>
      </c>
      <c r="N42" s="30">
        <f t="shared" si="1"/>
        <v>-1866.8788199689998</v>
      </c>
      <c r="O42" s="30">
        <f t="shared" si="2"/>
        <v>-333.4151713425</v>
      </c>
      <c r="P42" s="30">
        <f>O42/1000+'Начальные условия и парам.'!$G$21+'Начальные условия и парам.'!$K$19*'аксел-ры 1 и 2 и интегр-ие  '!M42</f>
        <v>6.4871816447134005</v>
      </c>
      <c r="Q42" s="30">
        <f t="shared" si="3"/>
        <v>0.38999968800000001</v>
      </c>
      <c r="R42" s="30">
        <f t="shared" si="4"/>
        <v>-1866.8788199689998</v>
      </c>
      <c r="S42" s="30">
        <f t="shared" si="5"/>
        <v>-333.4151713425</v>
      </c>
      <c r="T42" s="30">
        <f>S42/1000+'Начальные условия и парам.'!$M$21+'Начальные условия и парам.'!$K$19*'аксел-ры 1 и 2 и интегр-ие  '!Q42</f>
        <v>8.3665668862852165</v>
      </c>
      <c r="V42" s="30">
        <f t="shared" si="6"/>
        <v>0.38999968800000001</v>
      </c>
      <c r="W42" s="30">
        <f t="shared" si="7"/>
        <v>3181.9829082650003</v>
      </c>
      <c r="X42" s="30">
        <f t="shared" si="8"/>
        <v>510.389951011025</v>
      </c>
      <c r="Y42" s="30">
        <f>X42/1000+'Начальные условия и парам.'!$G$22+'Начальные условия и парам.'!$N$19*'аксел-ры 1 и 2 и интегр-ие  '!V42</f>
        <v>1.0197092107757664</v>
      </c>
      <c r="Z42" s="30">
        <f t="shared" si="9"/>
        <v>0.38999968800000001</v>
      </c>
      <c r="AA42" s="30">
        <f t="shared" si="10"/>
        <v>3181.9829082650003</v>
      </c>
      <c r="AB42" s="30">
        <f t="shared" si="11"/>
        <v>510.389951011025</v>
      </c>
      <c r="AC42" s="30">
        <f>AB42/1000+'Начальные условия и парам.'!$M$22+'Начальные условия и парам.'!$N$19*'аксел-ры 1 и 2 и интегр-ие  '!Z42</f>
        <v>0.33566892412442906</v>
      </c>
    </row>
    <row r="43" spans="1:29" x14ac:dyDescent="0.25">
      <c r="A43" s="12">
        <v>0.399999559</v>
      </c>
      <c r="B43" s="12">
        <v>-12474.1543</v>
      </c>
      <c r="C43" s="26"/>
      <c r="D43" s="12">
        <v>0.399999559</v>
      </c>
      <c r="E43" s="12">
        <v>8647.578125</v>
      </c>
      <c r="F43" s="28"/>
      <c r="G43" s="12">
        <v>0.399999559</v>
      </c>
      <c r="H43" s="12">
        <v>-12474.1543</v>
      </c>
      <c r="I43" s="26"/>
      <c r="J43" s="12">
        <v>0.399999559</v>
      </c>
      <c r="K43" s="12">
        <v>8647.578125</v>
      </c>
      <c r="M43" s="30">
        <f t="shared" si="0"/>
        <v>0.399999559</v>
      </c>
      <c r="N43" s="30">
        <f t="shared" si="1"/>
        <v>-2003.7846256689998</v>
      </c>
      <c r="O43" s="30">
        <f t="shared" si="2"/>
        <v>-352.76848857069001</v>
      </c>
      <c r="P43" s="30">
        <f>O43/1000+'Начальные условия и парам.'!$G$21+'Начальные условия и парам.'!$K$19*'аксел-ры 1 и 2 и интегр-ие  '!M43</f>
        <v>6.6427133091972204</v>
      </c>
      <c r="Q43" s="30">
        <f t="shared" si="3"/>
        <v>0.399999559</v>
      </c>
      <c r="R43" s="30">
        <f t="shared" si="4"/>
        <v>-2003.7846256689998</v>
      </c>
      <c r="S43" s="30">
        <f t="shared" si="5"/>
        <v>-352.76848857069001</v>
      </c>
      <c r="T43" s="30">
        <f>S43/1000+'Начальные условия и парам.'!$M$21+'Начальные условия и парам.'!$K$19*'аксел-ры 1 и 2 и интегр-ие  '!Q43</f>
        <v>8.5220985507690372</v>
      </c>
      <c r="V43" s="30">
        <f t="shared" si="6"/>
        <v>0.399999559</v>
      </c>
      <c r="W43" s="30">
        <f t="shared" si="7"/>
        <v>3251.1193462550004</v>
      </c>
      <c r="X43" s="30">
        <f t="shared" si="8"/>
        <v>542.55546228362505</v>
      </c>
      <c r="Y43" s="30">
        <f>X43/1000+'Начальные условия и парам.'!$G$22+'Начальные условия и парам.'!$N$19*'аксел-ры 1 и 2 и интегр-ие  '!V43</f>
        <v>0.98822179428500556</v>
      </c>
      <c r="Z43" s="30">
        <f t="shared" si="9"/>
        <v>0.399999559</v>
      </c>
      <c r="AA43" s="30">
        <f t="shared" si="10"/>
        <v>3251.1193462550004</v>
      </c>
      <c r="AB43" s="30">
        <f t="shared" si="11"/>
        <v>542.55546228362505</v>
      </c>
      <c r="AC43" s="30">
        <f>AB43/1000+'Начальные условия и парам.'!$M$22+'Начальные условия и парам.'!$N$19*'аксел-ры 1 и 2 и интегр-ие  '!Z43</f>
        <v>0.3041815076336678</v>
      </c>
    </row>
    <row r="44" spans="1:29" x14ac:dyDescent="0.25">
      <c r="A44" s="12">
        <v>0.40999943</v>
      </c>
      <c r="B44" s="12">
        <v>-5891.9643560000004</v>
      </c>
      <c r="C44" s="26"/>
      <c r="D44" s="12">
        <v>0.40999943</v>
      </c>
      <c r="E44" s="12">
        <v>11212.128909999999</v>
      </c>
      <c r="F44" s="28"/>
      <c r="G44" s="12">
        <v>0.40999943</v>
      </c>
      <c r="H44" s="12">
        <v>-5891.9643560000004</v>
      </c>
      <c r="I44" s="26"/>
      <c r="J44" s="12">
        <v>0.40999943</v>
      </c>
      <c r="K44" s="12">
        <v>11212.128909999999</v>
      </c>
      <c r="M44" s="30">
        <f t="shared" si="0"/>
        <v>0.40999943</v>
      </c>
      <c r="N44" s="30">
        <f t="shared" si="1"/>
        <v>-2095.6152189489999</v>
      </c>
      <c r="O44" s="30">
        <f t="shared" si="2"/>
        <v>-373.26548779377998</v>
      </c>
      <c r="P44" s="30">
        <f>O44/1000+'Начальные условия и парам.'!$G$21+'Начальные условия и парам.'!$K$19*'аксел-ры 1 и 2 и интегр-ие  '!M44</f>
        <v>6.7971012916861415</v>
      </c>
      <c r="Q44" s="30">
        <f t="shared" si="3"/>
        <v>0.40999943</v>
      </c>
      <c r="R44" s="30">
        <f t="shared" si="4"/>
        <v>-2095.6152189489999</v>
      </c>
      <c r="S44" s="30">
        <f t="shared" si="5"/>
        <v>-373.26548779377998</v>
      </c>
      <c r="T44" s="30">
        <f>S44/1000+'Начальные условия и парам.'!$M$21+'Начальные условия и парам.'!$K$19*'аксел-ры 1 и 2 и интегр-ие  '!Q44</f>
        <v>8.6764865332579575</v>
      </c>
      <c r="V44" s="30">
        <f t="shared" si="6"/>
        <v>0.40999943</v>
      </c>
      <c r="W44" s="30">
        <f t="shared" si="7"/>
        <v>3350.4178814300003</v>
      </c>
      <c r="X44" s="30">
        <f t="shared" si="8"/>
        <v>575.56314842205006</v>
      </c>
      <c r="Y44" s="30">
        <f>X44/1000+'Начальные условия и парам.'!$G$22+'Начальные условия и парам.'!$N$19*'аксел-ры 1 и 2 и интегр-ие  '!V44</f>
        <v>0.95757655266006925</v>
      </c>
      <c r="Z44" s="30">
        <f t="shared" si="9"/>
        <v>0.40999943</v>
      </c>
      <c r="AA44" s="30">
        <f t="shared" si="10"/>
        <v>3350.4178814300003</v>
      </c>
      <c r="AB44" s="30">
        <f t="shared" si="11"/>
        <v>575.56314842205006</v>
      </c>
      <c r="AC44" s="30">
        <f>AB44/1000+'Начальные условия и парам.'!$M$22+'Начальные условия и парам.'!$N$19*'аксел-ры 1 и 2 и интегр-ие  '!Z44</f>
        <v>0.27353626600873193</v>
      </c>
    </row>
    <row r="45" spans="1:29" x14ac:dyDescent="0.25">
      <c r="A45" s="12">
        <v>0.41999980799999997</v>
      </c>
      <c r="B45" s="12">
        <v>-81.626029970000005</v>
      </c>
      <c r="C45" s="26"/>
      <c r="D45" s="12">
        <v>0.41999980799999997</v>
      </c>
      <c r="E45" s="12">
        <v>8794.7207030000009</v>
      </c>
      <c r="F45" s="28"/>
      <c r="G45" s="12">
        <v>0.41999980799999997</v>
      </c>
      <c r="H45" s="12">
        <v>-81.626029970000005</v>
      </c>
      <c r="I45" s="26"/>
      <c r="J45" s="12">
        <v>0.41999980799999997</v>
      </c>
      <c r="K45" s="12">
        <v>8794.7207030000009</v>
      </c>
      <c r="M45" s="30">
        <f t="shared" si="0"/>
        <v>0.41999980799999997</v>
      </c>
      <c r="N45" s="30">
        <f t="shared" si="1"/>
        <v>-2125.4831708788497</v>
      </c>
      <c r="O45" s="30">
        <f t="shared" si="2"/>
        <v>-394.37097974291925</v>
      </c>
      <c r="P45" s="30">
        <f>O45/1000+'Начальные условия и парам.'!$G$21+'Начальные условия и парам.'!$K$19*'аксел-ры 1 и 2 и интегр-ие  '!M45</f>
        <v>6.950889648231966</v>
      </c>
      <c r="Q45" s="30">
        <f t="shared" si="3"/>
        <v>0.41999980799999997</v>
      </c>
      <c r="R45" s="30">
        <f t="shared" si="4"/>
        <v>-2125.4831708788497</v>
      </c>
      <c r="S45" s="30">
        <f t="shared" si="5"/>
        <v>-394.37097974291925</v>
      </c>
      <c r="T45" s="30">
        <f>S45/1000+'Начальные условия и парам.'!$M$21+'Начальные условия и парам.'!$K$19*'аксел-ры 1 и 2 и интегр-ие  '!Q45</f>
        <v>8.8302748898037819</v>
      </c>
      <c r="V45" s="30">
        <f t="shared" si="6"/>
        <v>0.41999980799999997</v>
      </c>
      <c r="W45" s="30">
        <f t="shared" si="7"/>
        <v>3450.4521294950005</v>
      </c>
      <c r="X45" s="30">
        <f t="shared" si="8"/>
        <v>609.56749847667504</v>
      </c>
      <c r="Y45" s="30">
        <f>X45/1000+'Начальные условия и парам.'!$G$22+'Начальные условия и парам.'!$N$19*'аксел-ры 1 и 2 и интегр-ие  '!V45</f>
        <v>0.92792474770626443</v>
      </c>
      <c r="Z45" s="30">
        <f t="shared" si="9"/>
        <v>0.41999980799999997</v>
      </c>
      <c r="AA45" s="30">
        <f t="shared" si="10"/>
        <v>3450.4521294950005</v>
      </c>
      <c r="AB45" s="30">
        <f t="shared" si="11"/>
        <v>609.56749847667504</v>
      </c>
      <c r="AC45" s="30">
        <f>AB45/1000+'Начальные условия и парам.'!$M$22+'Начальные условия и парам.'!$N$19*'аксел-ры 1 и 2 и интегр-ие  '!Z45</f>
        <v>0.24388446105492756</v>
      </c>
    </row>
    <row r="46" spans="1:29" x14ac:dyDescent="0.25">
      <c r="A46" s="12">
        <v>0.42999965000000001</v>
      </c>
      <c r="B46" s="12">
        <v>2309.16626</v>
      </c>
      <c r="C46" s="26"/>
      <c r="D46" s="12">
        <v>0.42999965000000001</v>
      </c>
      <c r="E46" s="12">
        <v>7913.7607420000004</v>
      </c>
      <c r="F46" s="28"/>
      <c r="G46" s="12">
        <v>0.42999965000000001</v>
      </c>
      <c r="H46" s="12">
        <v>2309.16626</v>
      </c>
      <c r="I46" s="26"/>
      <c r="J46" s="12">
        <v>0.42999965000000001</v>
      </c>
      <c r="K46" s="12">
        <v>7913.7607420000004</v>
      </c>
      <c r="M46" s="30">
        <f t="shared" si="0"/>
        <v>0.42999965000000001</v>
      </c>
      <c r="N46" s="30">
        <f t="shared" si="1"/>
        <v>-2114.3454697286998</v>
      </c>
      <c r="O46" s="30">
        <f t="shared" si="2"/>
        <v>-415.570122945957</v>
      </c>
      <c r="P46" s="30">
        <f>O46/1000+'Начальные условия и парам.'!$G$21+'Начальные условия и парам.'!$K$19*'аксел-ры 1 и 2 и интегр-ие  '!M46</f>
        <v>7.1045749795679489</v>
      </c>
      <c r="Q46" s="30">
        <f t="shared" si="3"/>
        <v>0.42999965000000001</v>
      </c>
      <c r="R46" s="30">
        <f t="shared" si="4"/>
        <v>-2114.3454697286998</v>
      </c>
      <c r="S46" s="30">
        <f t="shared" si="5"/>
        <v>-415.570122945957</v>
      </c>
      <c r="T46" s="30">
        <f>S46/1000+'Начальные условия и парам.'!$M$21+'Начальные условия и парам.'!$K$19*'аксел-ры 1 и 2 и интегр-ие  '!Q46</f>
        <v>8.9839602211397658</v>
      </c>
      <c r="V46" s="30">
        <f t="shared" si="6"/>
        <v>0.42999965000000001</v>
      </c>
      <c r="W46" s="30">
        <f t="shared" si="7"/>
        <v>3533.9945367200003</v>
      </c>
      <c r="X46" s="30">
        <f t="shared" si="8"/>
        <v>644.4897318077501</v>
      </c>
      <c r="Y46" s="30">
        <f>X46/1000+'Начальные условия и парам.'!$G$22+'Начальные условия и парам.'!$N$19*'аксел-ры 1 и 2 и интегр-ие  '!V46</f>
        <v>0.89919423786985009</v>
      </c>
      <c r="Z46" s="30">
        <f t="shared" si="9"/>
        <v>0.42999965000000001</v>
      </c>
      <c r="AA46" s="30">
        <f t="shared" si="10"/>
        <v>3533.9945367200003</v>
      </c>
      <c r="AB46" s="30">
        <f t="shared" si="11"/>
        <v>644.4897318077501</v>
      </c>
      <c r="AC46" s="30">
        <f>AB46/1000+'Начальные условия и парам.'!$M$22+'Начальные условия и парам.'!$N$19*'аксел-ры 1 и 2 и интегр-ие  '!Z46</f>
        <v>0.21515395121851277</v>
      </c>
    </row>
    <row r="47" spans="1:29" x14ac:dyDescent="0.25">
      <c r="A47" s="12">
        <v>0.439999521</v>
      </c>
      <c r="B47" s="12">
        <v>-418.89129639999999</v>
      </c>
      <c r="C47" s="26"/>
      <c r="D47" s="12">
        <v>0.439999521</v>
      </c>
      <c r="E47" s="12">
        <v>15518.472659999999</v>
      </c>
      <c r="F47" s="28"/>
      <c r="G47" s="12">
        <v>0.439999521</v>
      </c>
      <c r="H47" s="12">
        <v>-418.89129639999999</v>
      </c>
      <c r="I47" s="26"/>
      <c r="J47" s="12">
        <v>0.439999521</v>
      </c>
      <c r="K47" s="12">
        <v>15518.472659999999</v>
      </c>
      <c r="M47" s="30">
        <f t="shared" si="0"/>
        <v>0.439999521</v>
      </c>
      <c r="N47" s="30">
        <f t="shared" si="1"/>
        <v>-2104.8940949106996</v>
      </c>
      <c r="O47" s="30">
        <f t="shared" si="2"/>
        <v>-436.66632076915397</v>
      </c>
      <c r="P47" s="30">
        <f>O47/1000+'Начальные условия и парам.'!$G$21+'Начальные условия и парам.'!$K$19*'аксел-ры 1 и 2 и интегр-ие  '!M47</f>
        <v>7.2583637634567628</v>
      </c>
      <c r="Q47" s="30">
        <f t="shared" si="3"/>
        <v>0.439999521</v>
      </c>
      <c r="R47" s="30">
        <f t="shared" si="4"/>
        <v>-2104.8940949106996</v>
      </c>
      <c r="S47" s="30">
        <f t="shared" si="5"/>
        <v>-436.66632076915397</v>
      </c>
      <c r="T47" s="30">
        <f>S47/1000+'Начальные условия и парам.'!$M$21+'Начальные условия и парам.'!$K$19*'аксел-ры 1 и 2 и интегр-ие  '!Q47</f>
        <v>9.1377490050285797</v>
      </c>
      <c r="V47" s="30">
        <f t="shared" si="6"/>
        <v>0.439999521</v>
      </c>
      <c r="W47" s="30">
        <f t="shared" si="7"/>
        <v>3651.1557037300004</v>
      </c>
      <c r="X47" s="30">
        <f t="shared" si="8"/>
        <v>680.41548301000012</v>
      </c>
      <c r="Y47" s="30">
        <f>X47/1000+'Начальные условия и парам.'!$G$22+'Начальные условия и парам.'!$N$19*'аксел-ры 1 и 2 и интегр-ие  '!V47</f>
        <v>0.87146706130873941</v>
      </c>
      <c r="Z47" s="30">
        <f t="shared" si="9"/>
        <v>0.439999521</v>
      </c>
      <c r="AA47" s="30">
        <f t="shared" si="10"/>
        <v>3651.1557037300004</v>
      </c>
      <c r="AB47" s="30">
        <f t="shared" si="11"/>
        <v>680.41548301000012</v>
      </c>
      <c r="AC47" s="30">
        <f>AB47/1000+'Начальные условия и парам.'!$M$22+'Начальные условия и парам.'!$N$19*'аксел-ры 1 и 2 и интегр-ие  '!Z47</f>
        <v>0.1874267746574021</v>
      </c>
    </row>
    <row r="48" spans="1:29" x14ac:dyDescent="0.25">
      <c r="A48" s="12">
        <v>0.449999392</v>
      </c>
      <c r="B48" s="12">
        <v>-6659.4755859999996</v>
      </c>
      <c r="C48" s="26"/>
      <c r="D48" s="12">
        <v>0.449999392</v>
      </c>
      <c r="E48" s="12">
        <v>23493.75</v>
      </c>
      <c r="F48" s="28"/>
      <c r="G48" s="12">
        <v>0.449999392</v>
      </c>
      <c r="H48" s="12">
        <v>-6659.4755859999996</v>
      </c>
      <c r="I48" s="26"/>
      <c r="J48" s="12">
        <v>0.449999392</v>
      </c>
      <c r="K48" s="12">
        <v>23493.75</v>
      </c>
      <c r="M48" s="30">
        <f t="shared" si="0"/>
        <v>0.449999392</v>
      </c>
      <c r="N48" s="30">
        <f t="shared" si="1"/>
        <v>-2140.2859293226998</v>
      </c>
      <c r="O48" s="30">
        <f t="shared" si="2"/>
        <v>-457.89222089032097</v>
      </c>
      <c r="P48" s="30">
        <f>O48/1000+'Начальные условия и парам.'!$G$21+'Начальные условия и парам.'!$K$19*'аксел-ры 1 и 2 и интегр-ие  '!M48</f>
        <v>7.4120228450476056</v>
      </c>
      <c r="Q48" s="30">
        <f t="shared" si="3"/>
        <v>0.449999392</v>
      </c>
      <c r="R48" s="30">
        <f t="shared" si="4"/>
        <v>-2140.2859293226998</v>
      </c>
      <c r="S48" s="30">
        <f t="shared" si="5"/>
        <v>-457.89222089032097</v>
      </c>
      <c r="T48" s="30">
        <f>S48/1000+'Начальные условия и парам.'!$M$21+'Начальные условия и парам.'!$K$19*'аксел-ры 1 и 2 и интегр-ие  '!Q48</f>
        <v>9.2914080866194233</v>
      </c>
      <c r="V48" s="30">
        <f t="shared" si="6"/>
        <v>0.449999392</v>
      </c>
      <c r="W48" s="30">
        <f t="shared" si="7"/>
        <v>3846.2168170300001</v>
      </c>
      <c r="X48" s="30">
        <f t="shared" si="8"/>
        <v>717.90234561380009</v>
      </c>
      <c r="Y48" s="30">
        <f>X48/1000+'Начальные условия и парам.'!$G$22+'Начальные условия и парам.'!$N$19*'аксел-ры 1 и 2 и интегр-ие  '!V48</f>
        <v>0.8453009961491782</v>
      </c>
      <c r="Z48" s="30">
        <f t="shared" si="9"/>
        <v>0.449999392</v>
      </c>
      <c r="AA48" s="30">
        <f t="shared" si="10"/>
        <v>3846.2168170300001</v>
      </c>
      <c r="AB48" s="30">
        <f t="shared" si="11"/>
        <v>717.90234561380009</v>
      </c>
      <c r="AC48" s="30">
        <f>AB48/1000+'Начальные условия и парам.'!$M$22+'Начальные условия и парам.'!$N$19*'аксел-ры 1 и 2 и интегр-ие  '!Z48</f>
        <v>0.16126070949784133</v>
      </c>
    </row>
    <row r="49" spans="1:29" x14ac:dyDescent="0.25">
      <c r="A49" s="12">
        <v>0.45999973999999999</v>
      </c>
      <c r="B49" s="12">
        <v>-10561.89453</v>
      </c>
      <c r="C49" s="26"/>
      <c r="D49" s="12">
        <v>0.45999973999999999</v>
      </c>
      <c r="E49" s="12">
        <v>21016.632809999999</v>
      </c>
      <c r="F49" s="28"/>
      <c r="G49" s="12">
        <v>0.45999973999999999</v>
      </c>
      <c r="H49" s="12">
        <v>-10561.89453</v>
      </c>
      <c r="I49" s="26"/>
      <c r="J49" s="12">
        <v>0.45999973999999999</v>
      </c>
      <c r="K49" s="12">
        <v>21016.632809999999</v>
      </c>
      <c r="M49" s="30">
        <f t="shared" si="0"/>
        <v>0.45999973999999999</v>
      </c>
      <c r="N49" s="30">
        <f t="shared" si="1"/>
        <v>-2226.3927799026997</v>
      </c>
      <c r="O49" s="30">
        <f t="shared" si="2"/>
        <v>-479.72561443644798</v>
      </c>
      <c r="P49" s="30">
        <f>O49/1000+'Начальные условия и парам.'!$G$21+'Начальные условия и парам.'!$K$19*'аксел-ры 1 и 2 и интегр-ие  '!M49</f>
        <v>7.5650827753347309</v>
      </c>
      <c r="Q49" s="30">
        <f t="shared" si="3"/>
        <v>0.45999973999999999</v>
      </c>
      <c r="R49" s="30">
        <f t="shared" si="4"/>
        <v>-2226.3927799026997</v>
      </c>
      <c r="S49" s="30">
        <f t="shared" si="5"/>
        <v>-479.72561443644798</v>
      </c>
      <c r="T49" s="30">
        <f>S49/1000+'Начальные условия и парам.'!$M$21+'Начальные условия и парам.'!$K$19*'аксел-ры 1 и 2 и интегр-ие  '!Q49</f>
        <v>9.4444680169065478</v>
      </c>
      <c r="V49" s="30">
        <f t="shared" si="6"/>
        <v>0.45999973999999999</v>
      </c>
      <c r="W49" s="30">
        <f t="shared" si="7"/>
        <v>4068.7687310800002</v>
      </c>
      <c r="X49" s="30">
        <f t="shared" si="8"/>
        <v>757.47727335435013</v>
      </c>
      <c r="Y49" s="30">
        <f>X49/1000+'Начальные условия и парам.'!$G$22+'Начальные условия и парам.'!$N$19*'аксел-ры 1 и 2 и интегр-ие  '!V49</f>
        <v>0.82121995984254514</v>
      </c>
      <c r="Z49" s="30">
        <f t="shared" si="9"/>
        <v>0.45999973999999999</v>
      </c>
      <c r="AA49" s="30">
        <f t="shared" si="10"/>
        <v>4068.7687310800002</v>
      </c>
      <c r="AB49" s="30">
        <f t="shared" si="11"/>
        <v>757.47727335435013</v>
      </c>
      <c r="AC49" s="30">
        <f>AB49/1000+'Начальные условия и парам.'!$M$22+'Начальные условия и парам.'!$N$19*'аксел-ры 1 и 2 и интегр-ие  '!Z49</f>
        <v>0.13717967319120783</v>
      </c>
    </row>
    <row r="50" spans="1:29" x14ac:dyDescent="0.25">
      <c r="A50" s="12">
        <v>0.46999961099999998</v>
      </c>
      <c r="B50" s="12">
        <v>-9937.8876949999994</v>
      </c>
      <c r="C50" s="26"/>
      <c r="D50" s="12">
        <v>0.46999961099999998</v>
      </c>
      <c r="E50" s="12">
        <v>11506.882809999999</v>
      </c>
      <c r="F50" s="28"/>
      <c r="G50" s="12">
        <v>0.46999961099999998</v>
      </c>
      <c r="H50" s="12">
        <v>-9937.8876949999994</v>
      </c>
      <c r="I50" s="26"/>
      <c r="J50" s="12">
        <v>0.46999961099999998</v>
      </c>
      <c r="K50" s="12">
        <v>11506.882809999999</v>
      </c>
      <c r="M50" s="30">
        <f t="shared" si="0"/>
        <v>0.46999961099999998</v>
      </c>
      <c r="N50" s="30">
        <f t="shared" si="1"/>
        <v>-2328.8916910276998</v>
      </c>
      <c r="O50" s="30">
        <f t="shared" si="2"/>
        <v>-502.50203679109995</v>
      </c>
      <c r="P50" s="30">
        <f>O50/1000+'Начальные условия и парам.'!$G$21+'Начальные условия и парам.'!$K$19*'аксел-ры 1 и 2 и интегр-ие  '!M50</f>
        <v>7.7171913346920888</v>
      </c>
      <c r="Q50" s="30">
        <f t="shared" si="3"/>
        <v>0.46999961099999998</v>
      </c>
      <c r="R50" s="30">
        <f t="shared" si="4"/>
        <v>-2328.8916910276998</v>
      </c>
      <c r="S50" s="30">
        <f t="shared" si="5"/>
        <v>-502.50203679109995</v>
      </c>
      <c r="T50" s="30">
        <f>S50/1000+'Начальные условия и парам.'!$M$21+'Начальные условия и парам.'!$K$19*'аксел-ры 1 и 2 и интегр-ие  '!Q50</f>
        <v>9.5965765762639048</v>
      </c>
      <c r="V50" s="30">
        <f t="shared" si="6"/>
        <v>0.46999961099999998</v>
      </c>
      <c r="W50" s="30">
        <f t="shared" si="7"/>
        <v>4231.3863091800004</v>
      </c>
      <c r="X50" s="30">
        <f t="shared" si="8"/>
        <v>798.97804855565016</v>
      </c>
      <c r="Y50" s="30">
        <f>X50/1000+'Начальные условия и парам.'!$G$22+'Начальные условия и парам.'!$N$19*'аксел-ры 1 и 2 и интегр-ие  '!V50</f>
        <v>0.79906780728048465</v>
      </c>
      <c r="Z50" s="30">
        <f t="shared" si="9"/>
        <v>0.46999961099999998</v>
      </c>
      <c r="AA50" s="30">
        <f t="shared" si="10"/>
        <v>4231.3863091800004</v>
      </c>
      <c r="AB50" s="30">
        <f t="shared" si="11"/>
        <v>798.97804855565016</v>
      </c>
      <c r="AC50" s="30">
        <f>AB50/1000+'Начальные условия и парам.'!$M$22+'Начальные условия и парам.'!$N$19*'аксел-ры 1 и 2 и интегр-ие  '!Z50</f>
        <v>0.11502752062914734</v>
      </c>
    </row>
    <row r="51" spans="1:29" x14ac:dyDescent="0.25">
      <c r="A51" s="12">
        <v>0.479999483</v>
      </c>
      <c r="B51" s="12">
        <v>-9130.9306639999995</v>
      </c>
      <c r="C51" s="26"/>
      <c r="D51" s="12">
        <v>0.479999483</v>
      </c>
      <c r="E51" s="12">
        <v>4470.6708980000003</v>
      </c>
      <c r="F51" s="28"/>
      <c r="G51" s="12">
        <v>0.479999483</v>
      </c>
      <c r="H51" s="12">
        <v>-9130.9306639999995</v>
      </c>
      <c r="I51" s="26"/>
      <c r="J51" s="12">
        <v>0.479999483</v>
      </c>
      <c r="K51" s="12">
        <v>4470.6708980000003</v>
      </c>
      <c r="M51" s="30">
        <f t="shared" si="0"/>
        <v>0.479999483</v>
      </c>
      <c r="N51" s="30">
        <f t="shared" si="1"/>
        <v>-2424.2357828227</v>
      </c>
      <c r="O51" s="30">
        <f t="shared" si="2"/>
        <v>-526.26767416035193</v>
      </c>
      <c r="P51" s="30">
        <f>O51/1000+'Начальные условия и парам.'!$G$21+'Начальные условия и парам.'!$K$19*'аксел-ры 1 и 2 и интегр-ие  '!M51</f>
        <v>7.8683106965235714</v>
      </c>
      <c r="Q51" s="30">
        <f t="shared" si="3"/>
        <v>0.479999483</v>
      </c>
      <c r="R51" s="30">
        <f t="shared" si="4"/>
        <v>-2424.2357828227</v>
      </c>
      <c r="S51" s="30">
        <f t="shared" si="5"/>
        <v>-526.26767416035193</v>
      </c>
      <c r="T51" s="30">
        <f>S51/1000+'Начальные условия и парам.'!$M$21+'Начальные условия и парам.'!$K$19*'аксел-ры 1 и 2 и интегр-ие  '!Q51</f>
        <v>9.7476959380953883</v>
      </c>
      <c r="V51" s="30">
        <f t="shared" si="6"/>
        <v>0.479999483</v>
      </c>
      <c r="W51" s="30">
        <f t="shared" si="7"/>
        <v>4311.2740777200006</v>
      </c>
      <c r="X51" s="30">
        <f t="shared" si="8"/>
        <v>841.69135049015017</v>
      </c>
      <c r="Y51" s="30">
        <f>X51/1000+'Начальные условия и парам.'!$G$22+'Начальные условия и парам.'!$N$19*'аксел-ры 1 и 2 и интегр-ие  '!V51</f>
        <v>0.77812817508624876</v>
      </c>
      <c r="Z51" s="30">
        <f t="shared" si="9"/>
        <v>0.479999483</v>
      </c>
      <c r="AA51" s="30">
        <f t="shared" si="10"/>
        <v>4311.2740777200006</v>
      </c>
      <c r="AB51" s="30">
        <f t="shared" si="11"/>
        <v>841.69135049015017</v>
      </c>
      <c r="AC51" s="30">
        <f>AB51/1000+'Начальные условия и парам.'!$M$22+'Начальные условия и парам.'!$N$19*'аксел-ры 1 и 2 и интегр-ие  '!Z51</f>
        <v>9.4087888434911449E-2</v>
      </c>
    </row>
    <row r="52" spans="1:29" x14ac:dyDescent="0.25">
      <c r="A52" s="12">
        <v>0.489999354</v>
      </c>
      <c r="B52" s="12">
        <v>-10375.87695</v>
      </c>
      <c r="C52" s="26"/>
      <c r="D52" s="12">
        <v>0.489999354</v>
      </c>
      <c r="E52" s="12">
        <v>2000.5972899999999</v>
      </c>
      <c r="F52" s="28"/>
      <c r="G52" s="12">
        <v>0.489999354</v>
      </c>
      <c r="H52" s="12">
        <v>-10375.87695</v>
      </c>
      <c r="I52" s="26"/>
      <c r="J52" s="12">
        <v>0.489999354</v>
      </c>
      <c r="K52" s="12">
        <v>2000.5972899999999</v>
      </c>
      <c r="M52" s="30">
        <f t="shared" si="0"/>
        <v>0.489999354</v>
      </c>
      <c r="N52" s="30">
        <f t="shared" si="1"/>
        <v>-2521.7698208927</v>
      </c>
      <c r="O52" s="30">
        <f t="shared" si="2"/>
        <v>-550.99770217892888</v>
      </c>
      <c r="P52" s="30">
        <f>O52/1000+'Начальные условия и парам.'!$G$21+'Начальные условия и парам.'!$K$19*'аксел-ры 1 и 2 и интегр-ие  '!M52</f>
        <v>8.0184656502170046</v>
      </c>
      <c r="Q52" s="30">
        <f t="shared" si="3"/>
        <v>0.489999354</v>
      </c>
      <c r="R52" s="30">
        <f t="shared" si="4"/>
        <v>-2521.7698208927</v>
      </c>
      <c r="S52" s="30">
        <f t="shared" si="5"/>
        <v>-550.99770217892888</v>
      </c>
      <c r="T52" s="30">
        <f>S52/1000+'Начальные условия и парам.'!$M$21+'Начальные условия и парам.'!$K$19*'аксел-ры 1 и 2 и интегр-ие  '!Q52</f>
        <v>9.8978508917888206</v>
      </c>
      <c r="V52" s="30">
        <f t="shared" si="6"/>
        <v>0.489999354</v>
      </c>
      <c r="W52" s="30">
        <f t="shared" si="7"/>
        <v>4343.6304186600009</v>
      </c>
      <c r="X52" s="30">
        <f t="shared" si="8"/>
        <v>884.96587297205019</v>
      </c>
      <c r="Y52" s="30">
        <f>X52/1000+'Начальные условия и парам.'!$G$22+'Начальные условия и парам.'!$N$19*'аксел-ры 1 и 2 и интегр-ие  '!V52</f>
        <v>0.75774976980478748</v>
      </c>
      <c r="Z52" s="30">
        <f t="shared" si="9"/>
        <v>0.489999354</v>
      </c>
      <c r="AA52" s="30">
        <f t="shared" si="10"/>
        <v>4343.6304186600009</v>
      </c>
      <c r="AB52" s="30">
        <f t="shared" si="11"/>
        <v>884.96587297205019</v>
      </c>
      <c r="AC52" s="30">
        <f>AB52/1000+'Начальные условия и парам.'!$M$22+'Начальные условия и парам.'!$N$19*'аксел-ры 1 и 2 и интегр-ие  '!Z52</f>
        <v>7.3709483153450606E-2</v>
      </c>
    </row>
    <row r="53" spans="1:29" x14ac:dyDescent="0.25">
      <c r="A53" s="12">
        <v>0.49999970199999999</v>
      </c>
      <c r="B53" s="12">
        <v>-9895.8691409999992</v>
      </c>
      <c r="C53" s="26"/>
      <c r="D53" s="12">
        <v>0.49999970199999999</v>
      </c>
      <c r="E53" s="12">
        <v>943.73107909999999</v>
      </c>
      <c r="F53" s="28"/>
      <c r="G53" s="12">
        <v>0.49999970199999999</v>
      </c>
      <c r="H53" s="12">
        <v>-9895.8691409999992</v>
      </c>
      <c r="I53" s="26"/>
      <c r="J53" s="12">
        <v>0.49999970199999999</v>
      </c>
      <c r="K53" s="12">
        <v>943.73107909999999</v>
      </c>
      <c r="M53" s="30">
        <f t="shared" si="0"/>
        <v>0.49999970199999999</v>
      </c>
      <c r="N53" s="30">
        <f t="shared" si="1"/>
        <v>-2623.1285513477001</v>
      </c>
      <c r="O53" s="30">
        <f t="shared" si="2"/>
        <v>-576.72219404013083</v>
      </c>
      <c r="P53" s="30">
        <f>O53/1000+'Начальные условия и парам.'!$G$21+'Начальные условия и парам.'!$K$19*'аксел-ры 1 и 2 и интегр-ие  '!M53</f>
        <v>8.1676344821890545</v>
      </c>
      <c r="Q53" s="30">
        <f t="shared" si="3"/>
        <v>0.49999970199999999</v>
      </c>
      <c r="R53" s="30">
        <f t="shared" si="4"/>
        <v>-2623.1285513477001</v>
      </c>
      <c r="S53" s="30">
        <f t="shared" si="5"/>
        <v>-576.72219404013083</v>
      </c>
      <c r="T53" s="30">
        <f>S53/1000+'Начальные условия и парам.'!$M$21+'Начальные условия и парам.'!$K$19*'аксел-ры 1 и 2 и интегр-ие  '!Q53</f>
        <v>10.04701972376087</v>
      </c>
      <c r="V53" s="30">
        <f t="shared" si="6"/>
        <v>0.49999970199999999</v>
      </c>
      <c r="W53" s="30">
        <f t="shared" si="7"/>
        <v>4358.352060505501</v>
      </c>
      <c r="X53" s="30">
        <f t="shared" si="8"/>
        <v>928.47578536787773</v>
      </c>
      <c r="Y53" s="30">
        <f>X53/1000+'Начальные условия и парам.'!$G$22+'Начальные условия и парам.'!$N$19*'аксел-ры 1 и 2 и интегр-ие  '!V53</f>
        <v>0.73760371815343184</v>
      </c>
      <c r="Z53" s="30">
        <f t="shared" si="9"/>
        <v>0.49999970199999999</v>
      </c>
      <c r="AA53" s="30">
        <f t="shared" si="10"/>
        <v>4358.352060505501</v>
      </c>
      <c r="AB53" s="30">
        <f t="shared" si="11"/>
        <v>928.47578536787773</v>
      </c>
      <c r="AC53" s="30">
        <f>AB53/1000+'Начальные условия и парам.'!$M$22+'Начальные условия и парам.'!$N$19*'аксел-ры 1 и 2 и интегр-ие  '!Z53</f>
        <v>5.3563431502094971E-2</v>
      </c>
    </row>
    <row r="54" spans="1:29" x14ac:dyDescent="0.25">
      <c r="A54" s="12">
        <v>0.50999957299999998</v>
      </c>
      <c r="B54" s="12">
        <v>-5393.9653319999998</v>
      </c>
      <c r="C54" s="26"/>
      <c r="D54" s="12">
        <v>0.50999957299999998</v>
      </c>
      <c r="E54" s="12">
        <v>-171.05810550000001</v>
      </c>
      <c r="F54" s="28"/>
      <c r="G54" s="12">
        <v>0.50999957299999998</v>
      </c>
      <c r="H54" s="12">
        <v>-5393.9653319999998</v>
      </c>
      <c r="I54" s="26"/>
      <c r="J54" s="12">
        <v>0.50999957299999998</v>
      </c>
      <c r="K54" s="12">
        <v>-171.05810550000001</v>
      </c>
      <c r="M54" s="30">
        <f t="shared" si="0"/>
        <v>0.50999957299999998</v>
      </c>
      <c r="N54" s="30">
        <f t="shared" si="1"/>
        <v>-2699.5777237126999</v>
      </c>
      <c r="O54" s="30">
        <f t="shared" si="2"/>
        <v>-603.33572541543288</v>
      </c>
      <c r="P54" s="30">
        <f>O54/1000+'Начальные условия и парам.'!$G$21+'Начальные условия и парам.'!$K$19*'аксел-ры 1 и 2 и интегр-ие  '!M54</f>
        <v>8.3159059325257623</v>
      </c>
      <c r="Q54" s="30">
        <f t="shared" si="3"/>
        <v>0.50999957299999998</v>
      </c>
      <c r="R54" s="30">
        <f t="shared" si="4"/>
        <v>-2699.5777237126999</v>
      </c>
      <c r="S54" s="30">
        <f t="shared" si="5"/>
        <v>-603.33572541543288</v>
      </c>
      <c r="T54" s="30">
        <f>S54/1000+'Начальные условия и парам.'!$M$21+'Начальные условия и парам.'!$K$19*'аксел-ры 1 и 2 и интегр-ие  '!Q54</f>
        <v>10.195291174097578</v>
      </c>
      <c r="V54" s="30">
        <f t="shared" si="6"/>
        <v>0.50999957299999998</v>
      </c>
      <c r="W54" s="30">
        <f t="shared" si="7"/>
        <v>4362.2154253735007</v>
      </c>
      <c r="X54" s="30">
        <f t="shared" si="8"/>
        <v>972.07862279727271</v>
      </c>
      <c r="Y54" s="30">
        <f>X54/1000+'Начальные условия и парам.'!$G$22+'Начальные условия и парам.'!$N$19*'аксел-ры 1 и 2 и интегр-ие  '!V54</f>
        <v>0.7175536278194663</v>
      </c>
      <c r="Z54" s="30">
        <f t="shared" si="9"/>
        <v>0.50999957299999998</v>
      </c>
      <c r="AA54" s="30">
        <f t="shared" si="10"/>
        <v>4362.2154253735007</v>
      </c>
      <c r="AB54" s="30">
        <f t="shared" si="11"/>
        <v>972.07862279727271</v>
      </c>
      <c r="AC54" s="30">
        <f>AB54/1000+'Начальные условия и парам.'!$M$22+'Начальные условия и парам.'!$N$19*'аксел-ры 1 и 2 и интегр-ие  '!Z54</f>
        <v>3.3513341168128985E-2</v>
      </c>
    </row>
    <row r="55" spans="1:29" x14ac:dyDescent="0.25">
      <c r="A55" s="12">
        <v>0.51999944399999998</v>
      </c>
      <c r="B55" s="12">
        <v>120.2731934</v>
      </c>
      <c r="C55" s="26"/>
      <c r="D55" s="12">
        <v>0.51999944399999998</v>
      </c>
      <c r="E55" s="12">
        <v>475.09155270000002</v>
      </c>
      <c r="F55" s="28"/>
      <c r="G55" s="12">
        <v>0.51999944399999998</v>
      </c>
      <c r="H55" s="12">
        <v>120.2731934</v>
      </c>
      <c r="I55" s="26"/>
      <c r="J55" s="12">
        <v>0.51999944399999998</v>
      </c>
      <c r="K55" s="12">
        <v>475.09155270000002</v>
      </c>
      <c r="M55" s="30">
        <f t="shared" si="0"/>
        <v>0.51999944399999998</v>
      </c>
      <c r="N55" s="30">
        <f t="shared" si="1"/>
        <v>-2725.9461844057</v>
      </c>
      <c r="O55" s="30">
        <f t="shared" si="2"/>
        <v>-630.46334495602491</v>
      </c>
      <c r="P55" s="30">
        <f>O55/1000+'Начальные условия и парам.'!$G$21+'Начальные условия и парам.'!$K$19*'аксел-ры 1 и 2 и интегр-ие  '!M55</f>
        <v>8.463663294697179</v>
      </c>
      <c r="Q55" s="30">
        <f t="shared" si="3"/>
        <v>0.51999944399999998</v>
      </c>
      <c r="R55" s="30">
        <f t="shared" si="4"/>
        <v>-2725.9461844057</v>
      </c>
      <c r="S55" s="30">
        <f t="shared" si="5"/>
        <v>-630.46334495602491</v>
      </c>
      <c r="T55" s="30">
        <f>S55/1000+'Начальные условия и парам.'!$M$21+'Начальные условия и парам.'!$K$19*'аксел-ры 1 и 2 и интегр-ие  '!Q55</f>
        <v>10.343048536268997</v>
      </c>
      <c r="V55" s="30">
        <f t="shared" si="6"/>
        <v>0.51999944399999998</v>
      </c>
      <c r="W55" s="30">
        <f t="shared" si="7"/>
        <v>4363.7355926095006</v>
      </c>
      <c r="X55" s="30">
        <f t="shared" si="8"/>
        <v>1015.7083778871877</v>
      </c>
      <c r="Y55" s="30">
        <f>X55/1000+'Начальные условия и парам.'!$G$22+'Начальные условия и парам.'!$N$19*'аксел-ры 1 и 2 и интегр-ие  '!V55</f>
        <v>0.69753045514602041</v>
      </c>
      <c r="Z55" s="30">
        <f t="shared" si="9"/>
        <v>0.51999944399999998</v>
      </c>
      <c r="AA55" s="30">
        <f t="shared" si="10"/>
        <v>4363.7355926095006</v>
      </c>
      <c r="AB55" s="30">
        <f t="shared" si="11"/>
        <v>1015.7083778871877</v>
      </c>
      <c r="AC55" s="30">
        <f>AB55/1000+'Начальные условия и парам.'!$M$22+'Начальные условия и парам.'!$N$19*'аксел-ры 1 и 2 и интегр-ие  '!Z55</f>
        <v>1.3490168494682653E-2</v>
      </c>
    </row>
    <row r="56" spans="1:29" x14ac:dyDescent="0.25">
      <c r="A56" s="12">
        <v>0.529999793</v>
      </c>
      <c r="B56" s="12">
        <v>2980.3420409999999</v>
      </c>
      <c r="C56" s="26"/>
      <c r="D56" s="12">
        <v>0.529999793</v>
      </c>
      <c r="E56" s="12">
        <v>5210.5834960000002</v>
      </c>
      <c r="F56" s="28"/>
      <c r="G56" s="12">
        <v>0.529999793</v>
      </c>
      <c r="H56" s="12">
        <v>2980.3420409999999</v>
      </c>
      <c r="I56" s="26"/>
      <c r="J56" s="12">
        <v>0.529999793</v>
      </c>
      <c r="K56" s="12">
        <v>5210.5834960000002</v>
      </c>
      <c r="M56" s="30">
        <f t="shared" si="0"/>
        <v>0.529999793</v>
      </c>
      <c r="N56" s="30">
        <f t="shared" si="1"/>
        <v>-2710.4431082337001</v>
      </c>
      <c r="O56" s="30">
        <f t="shared" si="2"/>
        <v>-657.64529141922196</v>
      </c>
      <c r="P56" s="30">
        <f>O56/1000+'Начальные условия и парам.'!$G$21+'Начальные условия и парам.'!$K$19*'аксел-ры 1 и 2 и интегр-ие  '!M56</f>
        <v>8.6113746895559586</v>
      </c>
      <c r="Q56" s="30">
        <f t="shared" si="3"/>
        <v>0.529999793</v>
      </c>
      <c r="R56" s="30">
        <f t="shared" si="4"/>
        <v>-2710.4431082337001</v>
      </c>
      <c r="S56" s="30">
        <f t="shared" si="5"/>
        <v>-657.64529141922196</v>
      </c>
      <c r="T56" s="30">
        <f>S56/1000+'Начальные условия и парам.'!$M$21+'Начальные условия и парам.'!$K$19*'аксел-ры 1 и 2 и интегр-ие  '!Q56</f>
        <v>10.490759931127775</v>
      </c>
      <c r="V56" s="30">
        <f t="shared" si="6"/>
        <v>0.529999793</v>
      </c>
      <c r="W56" s="30">
        <f t="shared" si="7"/>
        <v>4392.1639678530009</v>
      </c>
      <c r="X56" s="30">
        <f t="shared" si="8"/>
        <v>1059.4878756895002</v>
      </c>
      <c r="Y56" s="30">
        <f>X56/1000+'Начальные условия и парам.'!$G$22+'Начальные условия и парам.'!$N$19*'аксел-ры 1 и 2 и интегр-ие  '!V56</f>
        <v>0.67765398253577525</v>
      </c>
      <c r="Z56" s="30">
        <f t="shared" si="9"/>
        <v>0.529999793</v>
      </c>
      <c r="AA56" s="30">
        <f t="shared" si="10"/>
        <v>4392.1639678530009</v>
      </c>
      <c r="AB56" s="30">
        <f t="shared" si="11"/>
        <v>1059.4878756895002</v>
      </c>
      <c r="AC56" s="30">
        <f>AB56/1000+'Начальные условия и парам.'!$M$22+'Начальные условия и парам.'!$N$19*'аксел-ры 1 и 2 и интегр-ие  '!Z56</f>
        <v>-6.3863041155625133E-3</v>
      </c>
    </row>
    <row r="57" spans="1:29" x14ac:dyDescent="0.25">
      <c r="A57" s="12">
        <v>0.53999966399999999</v>
      </c>
      <c r="B57" s="12">
        <v>1063.584351</v>
      </c>
      <c r="C57" s="26"/>
      <c r="D57" s="12">
        <v>0.53999966399999999</v>
      </c>
      <c r="E57" s="12">
        <v>11031.5957</v>
      </c>
      <c r="F57" s="28"/>
      <c r="G57" s="12">
        <v>0.53999966399999999</v>
      </c>
      <c r="H57" s="12">
        <v>1063.584351</v>
      </c>
      <c r="I57" s="26"/>
      <c r="J57" s="12">
        <v>0.53999966399999999</v>
      </c>
      <c r="K57" s="12">
        <v>11031.5957</v>
      </c>
      <c r="M57" s="30">
        <f t="shared" si="0"/>
        <v>0.53999966399999999</v>
      </c>
      <c r="N57" s="30">
        <f t="shared" si="1"/>
        <v>-2690.2234762737003</v>
      </c>
      <c r="O57" s="30">
        <f t="shared" si="2"/>
        <v>-684.64862434175893</v>
      </c>
      <c r="P57" s="30">
        <f>O57/1000+'Начальные условия и парам.'!$G$21+'Начальные условия и парам.'!$K$19*'аксел-ры 1 и 2 и интегр-ие  '!M57</f>
        <v>8.7592563383454305</v>
      </c>
      <c r="Q57" s="30">
        <f t="shared" si="3"/>
        <v>0.53999966399999999</v>
      </c>
      <c r="R57" s="30">
        <f t="shared" si="4"/>
        <v>-2690.2234762737003</v>
      </c>
      <c r="S57" s="30">
        <f t="shared" si="5"/>
        <v>-684.64862434175893</v>
      </c>
      <c r="T57" s="30">
        <f>S57/1000+'Начальные условия и парам.'!$M$21+'Начальные условия и парам.'!$K$19*'аксел-ры 1 и 2 и интегр-ие  '!Q57</f>
        <v>10.638641579917248</v>
      </c>
      <c r="V57" s="30">
        <f t="shared" si="6"/>
        <v>0.53999966399999999</v>
      </c>
      <c r="W57" s="30">
        <f t="shared" si="7"/>
        <v>4473.3748638330007</v>
      </c>
      <c r="X57" s="30">
        <f t="shared" si="8"/>
        <v>1103.8155698479302</v>
      </c>
      <c r="Y57" s="30">
        <f>X57/1000+'Начальные условия и парам.'!$G$22+'Начальные условия и парам.'!$N$19*'аксел-ры 1 и 2 и интегр-ие  '!V57</f>
        <v>0.65832874893084359</v>
      </c>
      <c r="Z57" s="30">
        <f t="shared" si="9"/>
        <v>0.53999966399999999</v>
      </c>
      <c r="AA57" s="30">
        <f t="shared" si="10"/>
        <v>4473.3748638330007</v>
      </c>
      <c r="AB57" s="30">
        <f t="shared" si="11"/>
        <v>1103.8155698479302</v>
      </c>
      <c r="AC57" s="30">
        <f>AB57/1000+'Начальные условия и парам.'!$M$22+'Начальные условия и парам.'!$N$19*'аксел-ры 1 и 2 и интегр-ие  '!Z57</f>
        <v>-2.5711537720493727E-2</v>
      </c>
    </row>
    <row r="58" spans="1:29" x14ac:dyDescent="0.25">
      <c r="A58" s="12">
        <v>0.54999953499999998</v>
      </c>
      <c r="B58" s="12">
        <v>-4799.1464839999999</v>
      </c>
      <c r="C58" s="26"/>
      <c r="D58" s="12">
        <v>0.54999953499999998</v>
      </c>
      <c r="E58" s="12">
        <v>11276.30566</v>
      </c>
      <c r="F58" s="28"/>
      <c r="G58" s="12">
        <v>0.54999953499999998</v>
      </c>
      <c r="H58" s="12">
        <v>-4799.1464839999999</v>
      </c>
      <c r="I58" s="26"/>
      <c r="J58" s="12">
        <v>0.54999953499999998</v>
      </c>
      <c r="K58" s="12">
        <v>11276.30566</v>
      </c>
      <c r="M58" s="30">
        <f t="shared" si="0"/>
        <v>0.54999953499999998</v>
      </c>
      <c r="N58" s="30">
        <f t="shared" si="1"/>
        <v>-2708.9012869387002</v>
      </c>
      <c r="O58" s="30">
        <f t="shared" si="2"/>
        <v>-711.64424815782093</v>
      </c>
      <c r="P58" s="30">
        <f>O58/1000+'Начальные условия и парам.'!$G$21+'Начальные условия и парам.'!$K$19*'аксел-ры 1 и 2 и интегр-ие  '!M58</f>
        <v>8.9071456962413791</v>
      </c>
      <c r="Q58" s="30">
        <f t="shared" si="3"/>
        <v>0.54999953499999998</v>
      </c>
      <c r="R58" s="30">
        <f t="shared" si="4"/>
        <v>-2708.9012869387002</v>
      </c>
      <c r="S58" s="30">
        <f t="shared" si="5"/>
        <v>-711.64424815782093</v>
      </c>
      <c r="T58" s="30">
        <f>S58/1000+'Начальные условия и парам.'!$M$21+'Начальные условия и парам.'!$K$19*'аксел-ры 1 и 2 и интегр-ие  '!Q58</f>
        <v>10.786530937813197</v>
      </c>
      <c r="V58" s="30">
        <f t="shared" si="6"/>
        <v>0.54999953499999998</v>
      </c>
      <c r="W58" s="30">
        <f t="shared" si="7"/>
        <v>4584.9143706330005</v>
      </c>
      <c r="X58" s="30">
        <f t="shared" si="8"/>
        <v>1149.1070160202603</v>
      </c>
      <c r="Y58" s="30">
        <f>X58/1000+'Начальные условия и парам.'!$G$22+'Начальные условия и парам.'!$N$19*'аксел-ры 1 и 2 и интегр-ие  '!V58</f>
        <v>0.63996726733981291</v>
      </c>
      <c r="Z58" s="30">
        <f t="shared" si="9"/>
        <v>0.54999953499999998</v>
      </c>
      <c r="AA58" s="30">
        <f t="shared" si="10"/>
        <v>4584.9143706330005</v>
      </c>
      <c r="AB58" s="30">
        <f t="shared" si="11"/>
        <v>1149.1070160202603</v>
      </c>
      <c r="AC58" s="30">
        <f>AB58/1000+'Начальные условия и парам.'!$M$22+'Начальные условия и парам.'!$N$19*'аксел-ры 1 и 2 и интегр-ие  '!Z58</f>
        <v>-4.4073019311523964E-2</v>
      </c>
    </row>
    <row r="59" spans="1:29" x14ac:dyDescent="0.25">
      <c r="A59" s="12">
        <v>0.55999940599999998</v>
      </c>
      <c r="B59" s="12">
        <v>-8421.9707030000009</v>
      </c>
      <c r="C59" s="26"/>
      <c r="D59" s="12">
        <v>0.55999940599999998</v>
      </c>
      <c r="E59" s="12">
        <v>6909.6284180000002</v>
      </c>
      <c r="F59" s="28"/>
      <c r="G59" s="12">
        <v>0.55999940599999998</v>
      </c>
      <c r="H59" s="12">
        <v>-8421.9707030000009</v>
      </c>
      <c r="I59" s="26"/>
      <c r="J59" s="12">
        <v>0.55999940599999998</v>
      </c>
      <c r="K59" s="12">
        <v>6909.6284180000002</v>
      </c>
      <c r="M59" s="30">
        <f t="shared" si="0"/>
        <v>0.55999940599999998</v>
      </c>
      <c r="N59" s="30">
        <f t="shared" si="1"/>
        <v>-2775.0068728737001</v>
      </c>
      <c r="O59" s="30">
        <f t="shared" si="2"/>
        <v>-739.06378895688295</v>
      </c>
      <c r="P59" s="30">
        <f>O59/1000+'Начальные условия и парам.'!$G$21+'Начальные условия и парам.'!$K$19*'аксел-ры 1 и 2 и интегр-ие  '!M59</f>
        <v>9.0546111371543265</v>
      </c>
      <c r="Q59" s="30">
        <f t="shared" si="3"/>
        <v>0.55999940599999998</v>
      </c>
      <c r="R59" s="30">
        <f t="shared" si="4"/>
        <v>-2775.0068728737001</v>
      </c>
      <c r="S59" s="30">
        <f t="shared" si="5"/>
        <v>-739.06378895688295</v>
      </c>
      <c r="T59" s="30">
        <f>S59/1000+'Начальные условия и парам.'!$M$21+'Начальные условия и парам.'!$K$19*'аксел-ры 1 и 2 и интегр-ие  '!Q59</f>
        <v>10.933996378726144</v>
      </c>
      <c r="V59" s="30">
        <f t="shared" si="6"/>
        <v>0.55999940599999998</v>
      </c>
      <c r="W59" s="30">
        <f t="shared" si="7"/>
        <v>4675.8440410230005</v>
      </c>
      <c r="X59" s="30">
        <f t="shared" si="8"/>
        <v>1195.4108080785402</v>
      </c>
      <c r="Y59" s="30">
        <f>X59/1000+'Начальные условия и парам.'!$G$22+'Начальные условия и парам.'!$N$19*'аксел-ры 1 и 2 и интегр-ие  '!V59</f>
        <v>0.62261813163473212</v>
      </c>
      <c r="Z59" s="30">
        <f t="shared" si="9"/>
        <v>0.55999940599999998</v>
      </c>
      <c r="AA59" s="30">
        <f t="shared" si="10"/>
        <v>4675.8440410230005</v>
      </c>
      <c r="AB59" s="30">
        <f t="shared" si="11"/>
        <v>1195.4108080785402</v>
      </c>
      <c r="AC59" s="30">
        <f>AB59/1000+'Начальные условия и парам.'!$M$22+'Начальные условия и парам.'!$N$19*'аксел-ры 1 и 2 и интегр-ие  '!Z59</f>
        <v>-6.142215501660564E-2</v>
      </c>
    </row>
    <row r="60" spans="1:29" x14ac:dyDescent="0.25">
      <c r="A60" s="12">
        <v>0.56999975400000003</v>
      </c>
      <c r="B60" s="12">
        <v>-5659.0659180000002</v>
      </c>
      <c r="C60" s="26"/>
      <c r="D60" s="12">
        <v>0.56999975400000003</v>
      </c>
      <c r="E60" s="12">
        <v>5836.5839839999999</v>
      </c>
      <c r="F60" s="28"/>
      <c r="G60" s="12">
        <v>0.56999975400000003</v>
      </c>
      <c r="H60" s="12">
        <v>-5659.0659180000002</v>
      </c>
      <c r="I60" s="26"/>
      <c r="J60" s="12">
        <v>0.56999975400000003</v>
      </c>
      <c r="K60" s="12">
        <v>5836.5839839999999</v>
      </c>
      <c r="M60" s="30">
        <f t="shared" si="0"/>
        <v>0.56999975400000003</v>
      </c>
      <c r="N60" s="30">
        <f t="shared" si="1"/>
        <v>-2845.4120559787002</v>
      </c>
      <c r="O60" s="30">
        <f t="shared" si="2"/>
        <v>-767.16588360114497</v>
      </c>
      <c r="P60" s="30">
        <f>O60/1000+'Начальные условия и парам.'!$G$21+'Начальные условия и парам.'!$K$19*'аксел-ры 1 и 2 и интегр-ие  '!M60</f>
        <v>9.2014023663433182</v>
      </c>
      <c r="Q60" s="30">
        <f t="shared" si="3"/>
        <v>0.56999975400000003</v>
      </c>
      <c r="R60" s="30">
        <f t="shared" si="4"/>
        <v>-2845.4120559787002</v>
      </c>
      <c r="S60" s="30">
        <f t="shared" si="5"/>
        <v>-767.16588360114497</v>
      </c>
      <c r="T60" s="30">
        <f>S60/1000+'Начальные условия и парам.'!$M$21+'Начальные условия и парам.'!$K$19*'аксел-ры 1 и 2 и интегр-ие  '!Q60</f>
        <v>11.080787607915134</v>
      </c>
      <c r="V60" s="30">
        <f t="shared" si="6"/>
        <v>0.56999975400000003</v>
      </c>
      <c r="W60" s="30">
        <f t="shared" si="7"/>
        <v>4739.5751030330002</v>
      </c>
      <c r="X60" s="30">
        <f t="shared" si="8"/>
        <v>1242.4879037988203</v>
      </c>
      <c r="Y60" s="30">
        <f>X60/1000+'Начальные условия и парам.'!$G$22+'Начальные условия и парам.'!$N$19*'аксел-ры 1 и 2 и интегр-ие  '!V60</f>
        <v>0.60603926330782798</v>
      </c>
      <c r="Z60" s="30">
        <f t="shared" si="9"/>
        <v>0.56999975400000003</v>
      </c>
      <c r="AA60" s="30">
        <f t="shared" si="10"/>
        <v>4739.5751030330002</v>
      </c>
      <c r="AB60" s="30">
        <f t="shared" si="11"/>
        <v>1242.4879037988203</v>
      </c>
      <c r="AC60" s="30">
        <f>AB60/1000+'Начальные условия и парам.'!$M$22+'Начальные условия и парам.'!$N$19*'аксел-ры 1 и 2 и интегр-ие  '!Z60</f>
        <v>-7.8001023343508891E-2</v>
      </c>
    </row>
    <row r="61" spans="1:29" x14ac:dyDescent="0.25">
      <c r="A61" s="12">
        <v>0.57999962599999999</v>
      </c>
      <c r="B61" s="12">
        <v>-1555.473023</v>
      </c>
      <c r="C61" s="26"/>
      <c r="D61" s="12">
        <v>0.57999962599999999</v>
      </c>
      <c r="E61" s="12">
        <v>8772.4072269999997</v>
      </c>
      <c r="F61" s="28"/>
      <c r="G61" s="12">
        <v>0.57999962599999999</v>
      </c>
      <c r="H61" s="12">
        <v>-1555.473023</v>
      </c>
      <c r="I61" s="26"/>
      <c r="J61" s="12">
        <v>0.57999962599999999</v>
      </c>
      <c r="K61" s="12">
        <v>8772.4072269999997</v>
      </c>
      <c r="M61" s="30">
        <f t="shared" si="0"/>
        <v>0.57999962599999999</v>
      </c>
      <c r="N61" s="30">
        <f t="shared" si="1"/>
        <v>-2881.4847506837004</v>
      </c>
      <c r="O61" s="30">
        <f t="shared" si="2"/>
        <v>-795.80036763445696</v>
      </c>
      <c r="P61" s="30">
        <f>O61/1000+'Начальные условия и парам.'!$G$21+'Начальные условия и парам.'!$K$19*'аксел-ры 1 и 2 и интегр-ие  '!M61</f>
        <v>9.34765288151074</v>
      </c>
      <c r="Q61" s="30">
        <f t="shared" si="3"/>
        <v>0.57999962599999999</v>
      </c>
      <c r="R61" s="30">
        <f t="shared" si="4"/>
        <v>-2881.4847506837004</v>
      </c>
      <c r="S61" s="30">
        <f t="shared" si="5"/>
        <v>-795.80036763445696</v>
      </c>
      <c r="T61" s="30">
        <f>S61/1000+'Начальные условия и парам.'!$M$21+'Начальные условия и парам.'!$K$19*'аксел-ры 1 и 2 и интегр-ие  '!Q61</f>
        <v>11.227038123082556</v>
      </c>
      <c r="V61" s="30">
        <f t="shared" si="6"/>
        <v>0.57999962599999999</v>
      </c>
      <c r="W61" s="30">
        <f t="shared" si="7"/>
        <v>4812.6200590879998</v>
      </c>
      <c r="X61" s="30">
        <f t="shared" si="8"/>
        <v>1290.2488796094253</v>
      </c>
      <c r="Y61" s="30">
        <f>X61/1000+'Начальные условия и парам.'!$G$22+'Начальные условия и парам.'!$N$19*'аксел-ры 1 и 2 и интегр-ие  '!V61</f>
        <v>0.59014730498969836</v>
      </c>
      <c r="Z61" s="30">
        <f t="shared" si="9"/>
        <v>0.57999962599999999</v>
      </c>
      <c r="AA61" s="30">
        <f t="shared" si="10"/>
        <v>4812.6200590879998</v>
      </c>
      <c r="AB61" s="30">
        <f t="shared" si="11"/>
        <v>1290.2488796094253</v>
      </c>
      <c r="AC61" s="30">
        <f>AB61/1000+'Начальные условия и парам.'!$M$22+'Начальные условия и парам.'!$N$19*'аксел-ры 1 и 2 и интегр-ие  '!Z61</f>
        <v>-9.3892981661639396E-2</v>
      </c>
    </row>
    <row r="62" spans="1:29" x14ac:dyDescent="0.25">
      <c r="A62" s="12">
        <v>0.58999949699999998</v>
      </c>
      <c r="B62" s="12">
        <v>-1766.9677730000001</v>
      </c>
      <c r="C62" s="26"/>
      <c r="D62" s="12">
        <v>0.58999949699999998</v>
      </c>
      <c r="E62" s="12">
        <v>8513.2207030000009</v>
      </c>
      <c r="F62" s="28"/>
      <c r="G62" s="12">
        <v>0.58999949699999998</v>
      </c>
      <c r="H62" s="12">
        <v>-1766.9677730000001</v>
      </c>
      <c r="I62" s="26"/>
      <c r="J62" s="12">
        <v>0.58999949699999998</v>
      </c>
      <c r="K62" s="12">
        <v>8513.2207030000009</v>
      </c>
      <c r="M62" s="30">
        <f t="shared" si="0"/>
        <v>0.58999949699999998</v>
      </c>
      <c r="N62" s="30">
        <f t="shared" si="1"/>
        <v>-2898.0969546637002</v>
      </c>
      <c r="O62" s="30">
        <f t="shared" si="2"/>
        <v>-824.69827616119392</v>
      </c>
      <c r="P62" s="30">
        <f>O62/1000+'Начальные условия и парам.'!$G$21+'Начальные условия и парам.'!$K$19*'аксел-ры 1 и 2 и интегр-ие  '!M62</f>
        <v>9.4936399546960129</v>
      </c>
      <c r="Q62" s="30">
        <f t="shared" si="3"/>
        <v>0.58999949699999998</v>
      </c>
      <c r="R62" s="30">
        <f t="shared" si="4"/>
        <v>-2898.0969546637002</v>
      </c>
      <c r="S62" s="30">
        <f t="shared" si="5"/>
        <v>-824.69827616119392</v>
      </c>
      <c r="T62" s="30">
        <f>S62/1000+'Начальные условия и парам.'!$M$21+'Начальные условия и парам.'!$K$19*'аксел-ры 1 и 2 и интегр-ие  '!Q62</f>
        <v>11.373025196267829</v>
      </c>
      <c r="V62" s="30">
        <f t="shared" si="6"/>
        <v>0.58999949699999998</v>
      </c>
      <c r="W62" s="30">
        <f t="shared" si="7"/>
        <v>4899.0481987379999</v>
      </c>
      <c r="X62" s="30">
        <f t="shared" si="8"/>
        <v>1338.8072208985554</v>
      </c>
      <c r="Y62" s="30">
        <f>X62/1000+'Начальные условия и парам.'!$G$22+'Начальные условия и парам.'!$N$19*'аксел-ры 1 и 2 и интегр-ие  '!V62</f>
        <v>0.57505271851546791</v>
      </c>
      <c r="Z62" s="30">
        <f t="shared" si="9"/>
        <v>0.58999949699999998</v>
      </c>
      <c r="AA62" s="30">
        <f t="shared" si="10"/>
        <v>4899.0481987379999</v>
      </c>
      <c r="AB62" s="30">
        <f t="shared" si="11"/>
        <v>1338.8072208985554</v>
      </c>
      <c r="AC62" s="30">
        <f>AB62/1000+'Начальные условия и парам.'!$M$22+'Начальные условия и парам.'!$N$19*'аксел-ры 1 и 2 и интегр-ие  '!Z62</f>
        <v>-0.10898756813586985</v>
      </c>
    </row>
    <row r="63" spans="1:29" x14ac:dyDescent="0.25">
      <c r="A63" s="12">
        <v>0.59999936799999998</v>
      </c>
      <c r="B63" s="12">
        <v>-5171.4985349999997</v>
      </c>
      <c r="C63" s="26"/>
      <c r="D63" s="12">
        <v>0.59999936799999998</v>
      </c>
      <c r="E63" s="12">
        <v>3636.320557</v>
      </c>
      <c r="F63" s="28"/>
      <c r="G63" s="12">
        <v>0.59999936799999998</v>
      </c>
      <c r="H63" s="12">
        <v>-5171.4985349999997</v>
      </c>
      <c r="I63" s="26"/>
      <c r="J63" s="12">
        <v>0.59999936799999998</v>
      </c>
      <c r="K63" s="12">
        <v>3636.320557</v>
      </c>
      <c r="M63" s="30">
        <f t="shared" si="0"/>
        <v>0.59999936799999998</v>
      </c>
      <c r="N63" s="30">
        <f t="shared" si="1"/>
        <v>-2932.7892862037002</v>
      </c>
      <c r="O63" s="30">
        <f t="shared" si="2"/>
        <v>-853.85270736553093</v>
      </c>
      <c r="P63" s="30">
        <f>O63/1000+'Начальные условия и парам.'!$G$21+'Начальные условия и парам.'!$K$19*'аксел-ры 1 и 2 и интегр-ие  '!M63</f>
        <v>9.6393705052036847</v>
      </c>
      <c r="Q63" s="30">
        <f t="shared" si="3"/>
        <v>0.59999936799999998</v>
      </c>
      <c r="R63" s="30">
        <f t="shared" si="4"/>
        <v>-2932.7892862037002</v>
      </c>
      <c r="S63" s="30">
        <f t="shared" si="5"/>
        <v>-853.85270736553093</v>
      </c>
      <c r="T63" s="30">
        <f>S63/1000+'Начальные условия и парам.'!$M$21+'Начальные условия и парам.'!$K$19*'аксел-ры 1 и 2 и интегр-ие  '!Q63</f>
        <v>11.518755746775502</v>
      </c>
      <c r="V63" s="30">
        <f t="shared" si="6"/>
        <v>0.59999936799999998</v>
      </c>
      <c r="W63" s="30">
        <f t="shared" si="7"/>
        <v>4959.7959050379995</v>
      </c>
      <c r="X63" s="30">
        <f t="shared" si="8"/>
        <v>1388.1014414174354</v>
      </c>
      <c r="Y63" s="30">
        <f>X63/1000+'Начальные условия и парам.'!$G$22+'Начальные условия и парам.'!$N$19*'аксел-ры 1 и 2 и интегр-ие  '!V63</f>
        <v>0.56069401127098617</v>
      </c>
      <c r="Z63" s="30">
        <f t="shared" si="9"/>
        <v>0.59999936799999998</v>
      </c>
      <c r="AA63" s="30">
        <f t="shared" si="10"/>
        <v>4959.7959050379995</v>
      </c>
      <c r="AB63" s="30">
        <f t="shared" si="11"/>
        <v>1388.1014414174354</v>
      </c>
      <c r="AC63" s="30">
        <f>AB63/1000+'Начальные условия и парам.'!$M$22+'Начальные условия и парам.'!$N$19*'аксел-ры 1 и 2 и интегр-ие  '!Z63</f>
        <v>-0.12334627538035114</v>
      </c>
    </row>
    <row r="64" spans="1:29" x14ac:dyDescent="0.25">
      <c r="A64" s="12">
        <v>0.60999971600000003</v>
      </c>
      <c r="B64" s="12">
        <v>-8989.3789059999999</v>
      </c>
      <c r="C64" s="26"/>
      <c r="D64" s="12">
        <v>0.60999971600000003</v>
      </c>
      <c r="E64" s="12">
        <v>523.48736570000005</v>
      </c>
      <c r="F64" s="28"/>
      <c r="G64" s="12">
        <v>0.60999971600000003</v>
      </c>
      <c r="H64" s="12">
        <v>-8989.3789059999999</v>
      </c>
      <c r="I64" s="26"/>
      <c r="J64" s="12">
        <v>0.60999971600000003</v>
      </c>
      <c r="K64" s="12">
        <v>523.48736570000005</v>
      </c>
      <c r="M64" s="30">
        <f t="shared" si="0"/>
        <v>0.60999971600000003</v>
      </c>
      <c r="N64" s="30">
        <f t="shared" si="1"/>
        <v>-3003.5936734086999</v>
      </c>
      <c r="O64" s="30">
        <f t="shared" si="2"/>
        <v>-883.53462216359299</v>
      </c>
      <c r="P64" s="30">
        <f>O64/1000+'Начальные условия и парам.'!$G$21+'Начальные условия и парам.'!$K$19*'аксел-ры 1 и 2 и интегр-ие  '!M64</f>
        <v>9.7845819142388759</v>
      </c>
      <c r="Q64" s="30">
        <f t="shared" si="3"/>
        <v>0.60999971600000003</v>
      </c>
      <c r="R64" s="30">
        <f t="shared" si="4"/>
        <v>-3003.5936734086999</v>
      </c>
      <c r="S64" s="30">
        <f t="shared" si="5"/>
        <v>-883.53462216359299</v>
      </c>
      <c r="T64" s="30">
        <f>S64/1000+'Начальные условия и парам.'!$M$21+'Начальные условия и парам.'!$K$19*'аксел-ры 1 и 2 и интегр-ие  '!Q64</f>
        <v>11.663967155810692</v>
      </c>
      <c r="V64" s="30">
        <f t="shared" si="6"/>
        <v>0.60999971600000003</v>
      </c>
      <c r="W64" s="30">
        <f t="shared" si="7"/>
        <v>4980.5949446514996</v>
      </c>
      <c r="X64" s="30">
        <f t="shared" si="8"/>
        <v>1437.8033956658828</v>
      </c>
      <c r="Y64" s="30">
        <f>X64/1000+'Начальные условия и парам.'!$G$22+'Начальные условия и парам.'!$N$19*'аксел-ры 1 и 2 и интегр-ие  '!V64</f>
        <v>0.54674000147225055</v>
      </c>
      <c r="Z64" s="30">
        <f t="shared" si="9"/>
        <v>0.60999971600000003</v>
      </c>
      <c r="AA64" s="30">
        <f t="shared" si="10"/>
        <v>4980.5949446514996</v>
      </c>
      <c r="AB64" s="30">
        <f t="shared" si="11"/>
        <v>1437.8033956658828</v>
      </c>
      <c r="AC64" s="30">
        <f>AB64/1000+'Начальные условия и парам.'!$M$22+'Начальные условия и парам.'!$N$19*'аксел-ры 1 и 2 и интегр-ие  '!Z64</f>
        <v>-0.13730028517908721</v>
      </c>
    </row>
    <row r="65" spans="1:29" x14ac:dyDescent="0.25">
      <c r="A65" s="12">
        <v>0.61999958799999999</v>
      </c>
      <c r="B65" s="12">
        <v>-11508.969730000001</v>
      </c>
      <c r="C65" s="26"/>
      <c r="D65" s="12">
        <v>0.61999958799999999</v>
      </c>
      <c r="E65" s="12">
        <v>199.8712463</v>
      </c>
      <c r="F65" s="28"/>
      <c r="G65" s="12">
        <v>0.61999958799999999</v>
      </c>
      <c r="H65" s="12">
        <v>-11508.969730000001</v>
      </c>
      <c r="I65" s="26"/>
      <c r="J65" s="12">
        <v>0.61999958799999999</v>
      </c>
      <c r="K65" s="12">
        <v>199.8712463</v>
      </c>
      <c r="M65" s="30">
        <f t="shared" si="0"/>
        <v>0.61999958799999999</v>
      </c>
      <c r="N65" s="30">
        <f t="shared" si="1"/>
        <v>-3106.0854165886999</v>
      </c>
      <c r="O65" s="30">
        <f t="shared" si="2"/>
        <v>-914.08301761357995</v>
      </c>
      <c r="P65" s="30">
        <f>O65/1000+'Начальные условия и парам.'!$G$21+'Начальные условия и парам.'!$K$19*'аксел-ры 1 и 2 и интегр-ие  '!M65</f>
        <v>9.9289185179896222</v>
      </c>
      <c r="Q65" s="30">
        <f t="shared" si="3"/>
        <v>0.61999958799999999</v>
      </c>
      <c r="R65" s="30">
        <f t="shared" si="4"/>
        <v>-3106.0854165886999</v>
      </c>
      <c r="S65" s="30">
        <f t="shared" si="5"/>
        <v>-914.08301761357995</v>
      </c>
      <c r="T65" s="30">
        <f>S65/1000+'Начальные условия и парам.'!$M$21+'Начальные условия и парам.'!$K$19*'аксел-ры 1 и 2 и интегр-ие  '!Q65</f>
        <v>11.808303759561438</v>
      </c>
      <c r="V65" s="30">
        <f t="shared" si="6"/>
        <v>0.61999958799999999</v>
      </c>
      <c r="W65" s="30">
        <f t="shared" si="7"/>
        <v>4984.2117377115001</v>
      </c>
      <c r="X65" s="30">
        <f t="shared" si="8"/>
        <v>1487.6274290776978</v>
      </c>
      <c r="Y65" s="30">
        <f>X65/1000+'Начальные условия и парам.'!$G$22+'Начальные условия и парам.'!$N$19*'аксел-ры 1 и 2 и интегр-ие  '!V65</f>
        <v>0.53291110075532977</v>
      </c>
      <c r="Z65" s="30">
        <f t="shared" si="9"/>
        <v>0.61999958799999999</v>
      </c>
      <c r="AA65" s="30">
        <f t="shared" si="10"/>
        <v>4984.2117377115001</v>
      </c>
      <c r="AB65" s="30">
        <f t="shared" si="11"/>
        <v>1487.6274290776978</v>
      </c>
      <c r="AC65" s="30">
        <f>AB65/1000+'Начальные условия и парам.'!$M$22+'Начальные условия и парам.'!$N$19*'аксел-ры 1 и 2 и интегр-ие  '!Z65</f>
        <v>-0.15112918589600799</v>
      </c>
    </row>
    <row r="66" spans="1:29" x14ac:dyDescent="0.25">
      <c r="A66" s="12">
        <v>0.62999945899999998</v>
      </c>
      <c r="B66" s="12">
        <v>-10417.57422</v>
      </c>
      <c r="C66" s="26"/>
      <c r="D66" s="12">
        <v>0.62999945899999998</v>
      </c>
      <c r="E66" s="12">
        <v>-3734.873047</v>
      </c>
      <c r="F66" s="28"/>
      <c r="G66" s="12">
        <v>0.62999945899999998</v>
      </c>
      <c r="H66" s="12">
        <v>-10417.57422</v>
      </c>
      <c r="I66" s="26"/>
      <c r="J66" s="12">
        <v>0.62999945899999998</v>
      </c>
      <c r="K66" s="12">
        <v>-3734.873047</v>
      </c>
      <c r="M66" s="30">
        <f t="shared" si="0"/>
        <v>0.62999945899999998</v>
      </c>
      <c r="N66" s="30">
        <f t="shared" si="1"/>
        <v>-3215.7181363386999</v>
      </c>
      <c r="O66" s="30">
        <f t="shared" si="2"/>
        <v>-945.69203537821693</v>
      </c>
      <c r="P66" s="30">
        <f>O66/1000+'Начальные условия и парам.'!$G$21+'Начальные условия и парам.'!$K$19*'аксел-ры 1 и 2 и интегр-ие  '!M66</f>
        <v>10.072194481936995</v>
      </c>
      <c r="Q66" s="30">
        <f t="shared" si="3"/>
        <v>0.62999945899999998</v>
      </c>
      <c r="R66" s="30">
        <f t="shared" si="4"/>
        <v>-3215.7181363386999</v>
      </c>
      <c r="S66" s="30">
        <f t="shared" si="5"/>
        <v>-945.69203537821693</v>
      </c>
      <c r="T66" s="30">
        <f>S66/1000+'Начальные условия и парам.'!$M$21+'Начальные условия и парам.'!$K$19*'аксел-ры 1 и 2 и интегр-ие  '!Q66</f>
        <v>11.951579723508813</v>
      </c>
      <c r="V66" s="30">
        <f t="shared" si="6"/>
        <v>0.62999945899999998</v>
      </c>
      <c r="W66" s="30">
        <f t="shared" si="7"/>
        <v>4966.5367287079998</v>
      </c>
      <c r="X66" s="30">
        <f t="shared" si="8"/>
        <v>1537.3811714097953</v>
      </c>
      <c r="Y66" s="30">
        <f>X66/1000+'Начальные условия и парам.'!$G$22+'Начальные условия и парам.'!$N$19*'аксел-ры 1 и 2 и интегр-ие  '!V66</f>
        <v>0.51901191532406621</v>
      </c>
      <c r="Z66" s="30">
        <f t="shared" si="9"/>
        <v>0.62999945899999998</v>
      </c>
      <c r="AA66" s="30">
        <f t="shared" si="10"/>
        <v>4966.5367287079998</v>
      </c>
      <c r="AB66" s="30">
        <f t="shared" si="11"/>
        <v>1537.3811714097953</v>
      </c>
      <c r="AC66" s="30">
        <f>AB66/1000+'Начальные условия и парам.'!$M$22+'Начальные условия и парам.'!$N$19*'аксел-ры 1 и 2 и интегр-ие  '!Z66</f>
        <v>-0.16502837132727066</v>
      </c>
    </row>
    <row r="67" spans="1:29" x14ac:dyDescent="0.25">
      <c r="A67" s="12">
        <v>0.63999932999999998</v>
      </c>
      <c r="B67" s="12">
        <v>-4673.640625</v>
      </c>
      <c r="C67" s="26"/>
      <c r="D67" s="12">
        <v>0.63999932999999998</v>
      </c>
      <c r="E67" s="12">
        <v>-8803.8837889999995</v>
      </c>
      <c r="F67" s="28"/>
      <c r="G67" s="12">
        <v>0.63999932999999998</v>
      </c>
      <c r="H67" s="12">
        <v>-4673.640625</v>
      </c>
      <c r="I67" s="26"/>
      <c r="J67" s="12">
        <v>0.63999932999999998</v>
      </c>
      <c r="K67" s="12">
        <v>-8803.8837889999995</v>
      </c>
      <c r="M67" s="30">
        <f t="shared" si="0"/>
        <v>0.63999932999999998</v>
      </c>
      <c r="N67" s="30">
        <f t="shared" si="1"/>
        <v>-3291.1742105636999</v>
      </c>
      <c r="O67" s="30">
        <f t="shared" si="2"/>
        <v>-978.22649711272891</v>
      </c>
      <c r="P67" s="30">
        <f>O67/1000+'Начальные условия и парам.'!$G$21+'Начальные условия и парам.'!$K$19*'аксел-ры 1 и 2 и интегр-ие  '!M67</f>
        <v>10.214545001914495</v>
      </c>
      <c r="Q67" s="30">
        <f t="shared" si="3"/>
        <v>0.63999932999999998</v>
      </c>
      <c r="R67" s="30">
        <f t="shared" si="4"/>
        <v>-3291.1742105636999</v>
      </c>
      <c r="S67" s="30">
        <f t="shared" si="5"/>
        <v>-978.22649711272891</v>
      </c>
      <c r="T67" s="30">
        <f>S67/1000+'Начальные условия и парам.'!$M$21+'Начальные условия и парам.'!$K$19*'аксел-ры 1 и 2 и интегр-ие  '!Q67</f>
        <v>12.093930243486312</v>
      </c>
      <c r="V67" s="30">
        <f t="shared" si="6"/>
        <v>0.63999932999999998</v>
      </c>
      <c r="W67" s="30">
        <f t="shared" si="7"/>
        <v>4903.8429445279999</v>
      </c>
      <c r="X67" s="30">
        <f t="shared" si="8"/>
        <v>1586.7330697759753</v>
      </c>
      <c r="Y67" s="30">
        <f>X67/1000+'Начальные условия и парам.'!$G$22+'Начальные условия и парам.'!$N$19*'аксел-ры 1 и 2 и интегр-ие  '!V67</f>
        <v>0.50471088592688584</v>
      </c>
      <c r="Z67" s="30">
        <f t="shared" si="9"/>
        <v>0.63999932999999998</v>
      </c>
      <c r="AA67" s="30">
        <f t="shared" si="10"/>
        <v>4903.8429445279999</v>
      </c>
      <c r="AB67" s="30">
        <f t="shared" si="11"/>
        <v>1586.7330697759753</v>
      </c>
      <c r="AC67" s="30">
        <f>AB67/1000+'Начальные условия и парам.'!$M$22+'Начальные условия и парам.'!$N$19*'аксел-ры 1 и 2 и интегр-ие  '!Z67</f>
        <v>-0.17932940072445147</v>
      </c>
    </row>
    <row r="68" spans="1:29" x14ac:dyDescent="0.25">
      <c r="A68" s="12">
        <v>0.64999967800000003</v>
      </c>
      <c r="B68" s="12">
        <v>3448.6235350000002</v>
      </c>
      <c r="C68" s="26"/>
      <c r="D68" s="12">
        <v>0.64999967800000003</v>
      </c>
      <c r="E68" s="12">
        <v>-2278.7690429999998</v>
      </c>
      <c r="F68" s="28"/>
      <c r="G68" s="12">
        <v>0.64999967800000003</v>
      </c>
      <c r="H68" s="12">
        <v>3448.6235350000002</v>
      </c>
      <c r="I68" s="26"/>
      <c r="J68" s="12">
        <v>0.64999967800000003</v>
      </c>
      <c r="K68" s="12">
        <v>-2278.7690429999998</v>
      </c>
      <c r="M68" s="30">
        <f t="shared" si="0"/>
        <v>0.64999967800000003</v>
      </c>
      <c r="N68" s="30">
        <f t="shared" si="1"/>
        <v>-3297.2992960136999</v>
      </c>
      <c r="O68" s="30">
        <f t="shared" si="2"/>
        <v>-1011.1688646456159</v>
      </c>
      <c r="P68" s="30">
        <f>O68/1000+'Начальные условия и парам.'!$G$21+'Начальные условия и парам.'!$K$19*'аксел-ры 1 и 2 и интегр-ие  '!M68</f>
        <v>10.356495958214859</v>
      </c>
      <c r="Q68" s="30">
        <f t="shared" si="3"/>
        <v>0.64999967800000003</v>
      </c>
      <c r="R68" s="30">
        <f t="shared" si="4"/>
        <v>-3297.2992960136999</v>
      </c>
      <c r="S68" s="30">
        <f t="shared" si="5"/>
        <v>-1011.1688646456159</v>
      </c>
      <c r="T68" s="30">
        <f>S68/1000+'Начальные условия и парам.'!$M$21+'Начальные условия и парам.'!$K$19*'аксел-ры 1 и 2 и интегр-ие  '!Q68</f>
        <v>12.235881199786675</v>
      </c>
      <c r="V68" s="30">
        <f t="shared" si="6"/>
        <v>0.64999967800000003</v>
      </c>
      <c r="W68" s="30">
        <f t="shared" si="7"/>
        <v>4848.4296803679999</v>
      </c>
      <c r="X68" s="30">
        <f t="shared" si="8"/>
        <v>1635.4944329004552</v>
      </c>
      <c r="Y68" s="30">
        <f>X68/1000+'Начальные условия и парам.'!$G$22+'Начальные условия и парам.'!$N$19*'аксел-ры 1 и 2 и интегр-ие  '!V68</f>
        <v>0.4898162850041814</v>
      </c>
      <c r="Z68" s="30">
        <f t="shared" si="9"/>
        <v>0.64999967800000003</v>
      </c>
      <c r="AA68" s="30">
        <f t="shared" si="10"/>
        <v>4848.4296803679999</v>
      </c>
      <c r="AB68" s="30">
        <f t="shared" si="11"/>
        <v>1635.4944329004552</v>
      </c>
      <c r="AC68" s="30">
        <f>AB68/1000+'Начальные условия и парам.'!$M$22+'Начальные условия и парам.'!$N$19*'аксел-ры 1 и 2 и интегр-ие  '!Z68</f>
        <v>-0.19422400164715548</v>
      </c>
    </row>
    <row r="69" spans="1:29" x14ac:dyDescent="0.25">
      <c r="A69" s="12">
        <v>0.65999954900000002</v>
      </c>
      <c r="B69" s="12">
        <v>8663.8574219999991</v>
      </c>
      <c r="C69" s="26"/>
      <c r="D69" s="12">
        <v>0.65999954900000002</v>
      </c>
      <c r="E69" s="12">
        <v>14114.007809999999</v>
      </c>
      <c r="F69" s="28"/>
      <c r="G69" s="12">
        <v>0.65999954900000002</v>
      </c>
      <c r="H69" s="12">
        <v>8663.8574219999991</v>
      </c>
      <c r="I69" s="26"/>
      <c r="J69" s="12">
        <v>0.65999954900000002</v>
      </c>
      <c r="K69" s="12">
        <v>14114.007809999999</v>
      </c>
      <c r="M69" s="30">
        <f t="shared" si="0"/>
        <v>0.65999954900000002</v>
      </c>
      <c r="N69" s="30">
        <f t="shared" si="1"/>
        <v>-3236.7368912286997</v>
      </c>
      <c r="O69" s="30">
        <f t="shared" si="2"/>
        <v>-1043.839045581828</v>
      </c>
      <c r="P69" s="30">
        <f>O69/1000+'Начальные условия и парам.'!$G$21+'Начальные условия и парам.'!$K$19*'аксел-ры 1 и 2 и интегр-ие  '!M69</f>
        <v>10.498710758990658</v>
      </c>
      <c r="Q69" s="30">
        <f t="shared" si="3"/>
        <v>0.65999954900000002</v>
      </c>
      <c r="R69" s="30">
        <f t="shared" si="4"/>
        <v>-3236.7368912286997</v>
      </c>
      <c r="S69" s="30">
        <f t="shared" si="5"/>
        <v>-1043.839045581828</v>
      </c>
      <c r="T69" s="30">
        <f>S69/1000+'Начальные условия и парам.'!$M$21+'Начальные условия и парам.'!$K$19*'аксел-ры 1 и 2 и интегр-ие  '!Q69</f>
        <v>12.378096000562476</v>
      </c>
      <c r="V69" s="30">
        <f t="shared" si="6"/>
        <v>0.65999954900000002</v>
      </c>
      <c r="W69" s="30">
        <f t="shared" si="7"/>
        <v>4907.605874203</v>
      </c>
      <c r="X69" s="30">
        <f t="shared" si="8"/>
        <v>1684.2746106733102</v>
      </c>
      <c r="Y69" s="30">
        <f>X69/1000+'Начальные условия и парам.'!$G$22+'Начальные условия и парам.'!$N$19*'аксел-ры 1 и 2 и интегр-ие  '!V69</f>
        <v>0.4749435350136757</v>
      </c>
      <c r="Z69" s="30">
        <f t="shared" si="9"/>
        <v>0.65999954900000002</v>
      </c>
      <c r="AA69" s="30">
        <f t="shared" si="10"/>
        <v>4907.605874203</v>
      </c>
      <c r="AB69" s="30">
        <f t="shared" si="11"/>
        <v>1684.2746106733102</v>
      </c>
      <c r="AC69" s="30">
        <f>AB69/1000+'Начальные условия и парам.'!$M$22+'Начальные условия и парам.'!$N$19*'аксел-ры 1 и 2 и интегр-ие  '!Z69</f>
        <v>-0.20909675163766117</v>
      </c>
    </row>
    <row r="70" spans="1:29" x14ac:dyDescent="0.25">
      <c r="A70" s="12">
        <v>0.66999942099999998</v>
      </c>
      <c r="B70" s="12">
        <v>6456.3393560000004</v>
      </c>
      <c r="C70" s="26"/>
      <c r="D70" s="12">
        <v>0.66999942099999998</v>
      </c>
      <c r="E70" s="12">
        <v>19968.345700000002</v>
      </c>
      <c r="F70" s="28"/>
      <c r="G70" s="12">
        <v>0.66999942099999998</v>
      </c>
      <c r="H70" s="12">
        <v>6456.3393560000004</v>
      </c>
      <c r="I70" s="26"/>
      <c r="J70" s="12">
        <v>0.66999942099999998</v>
      </c>
      <c r="K70" s="12">
        <v>19968.345700000002</v>
      </c>
      <c r="M70" s="30">
        <f t="shared" si="0"/>
        <v>0.66999942099999998</v>
      </c>
      <c r="N70" s="30">
        <f t="shared" si="1"/>
        <v>-3161.1359073386998</v>
      </c>
      <c r="O70" s="30">
        <f t="shared" si="2"/>
        <v>-1075.8284095746651</v>
      </c>
      <c r="P70" s="30">
        <f>O70/1000+'Начальные условия и парам.'!$G$21+'Начальные условия и парам.'!$K$19*'аксел-ры 1 и 2 и интегр-ие  '!M70</f>
        <v>10.641606394198554</v>
      </c>
      <c r="Q70" s="30">
        <f t="shared" si="3"/>
        <v>0.66999942099999998</v>
      </c>
      <c r="R70" s="30">
        <f t="shared" si="4"/>
        <v>-3161.1359073386998</v>
      </c>
      <c r="S70" s="30">
        <f t="shared" si="5"/>
        <v>-1075.8284095746651</v>
      </c>
      <c r="T70" s="30">
        <f>S70/1000+'Начальные условия и парам.'!$M$21+'Начальные условия и парам.'!$K$19*'аксел-ры 1 и 2 и интегр-ие  '!Q70</f>
        <v>12.520991635770372</v>
      </c>
      <c r="V70" s="30">
        <f t="shared" si="6"/>
        <v>0.66999942099999998</v>
      </c>
      <c r="W70" s="30">
        <f t="shared" si="7"/>
        <v>5078.0176417530001</v>
      </c>
      <c r="X70" s="30">
        <f t="shared" si="8"/>
        <v>1734.2027282530903</v>
      </c>
      <c r="Y70" s="30">
        <f>X70/1000+'Начальные условия и парам.'!$G$22+'Начальные условия и парам.'!$N$19*'аксел-ры 1 и 2 и интегр-ие  '!V70</f>
        <v>0.46121871846472029</v>
      </c>
      <c r="Z70" s="30">
        <f t="shared" si="9"/>
        <v>0.66999942099999998</v>
      </c>
      <c r="AA70" s="30">
        <f t="shared" si="10"/>
        <v>5078.0176417530001</v>
      </c>
      <c r="AB70" s="30">
        <f t="shared" si="11"/>
        <v>1734.2027282530903</v>
      </c>
      <c r="AC70" s="30">
        <f>AB70/1000+'Начальные условия и парам.'!$M$22+'Начальные условия и парам.'!$N$19*'аксел-ры 1 и 2 и интегр-ие  '!Z70</f>
        <v>-0.22282156818661658</v>
      </c>
    </row>
    <row r="71" spans="1:29" x14ac:dyDescent="0.25">
      <c r="A71" s="12">
        <v>0.67999923200000001</v>
      </c>
      <c r="B71" s="12">
        <v>-1104.885376</v>
      </c>
      <c r="C71" s="26"/>
      <c r="D71" s="12">
        <v>0.67999923200000001</v>
      </c>
      <c r="E71" s="12">
        <v>9027.3623050000006</v>
      </c>
      <c r="F71" s="28"/>
      <c r="G71" s="12">
        <v>0.67999923200000001</v>
      </c>
      <c r="H71" s="12">
        <v>-1104.885376</v>
      </c>
      <c r="I71" s="26"/>
      <c r="J71" s="12">
        <v>0.67999923200000001</v>
      </c>
      <c r="K71" s="12">
        <v>9027.3623050000006</v>
      </c>
      <c r="M71" s="30">
        <f t="shared" ref="M71:M134" si="12">A71</f>
        <v>0.67999923200000001</v>
      </c>
      <c r="N71" s="30">
        <f t="shared" ref="N71:N134" si="13">N70+((B70+B71)/2)*$G$3</f>
        <v>-3134.3786374386996</v>
      </c>
      <c r="O71" s="30">
        <f t="shared" ref="O71:O134" si="14">O70+((N70+N71)/2)*$G$3</f>
        <v>-1107.3059822985522</v>
      </c>
      <c r="P71" s="30">
        <f>O71/1000+'Начальные условия и парам.'!$G$21+'Начальные условия и парам.'!$K$19*'аксел-ры 1 и 2 и интегр-ие  '!M71</f>
        <v>10.785012753863251</v>
      </c>
      <c r="Q71" s="30">
        <f t="shared" ref="Q71:Q134" si="15">A71</f>
        <v>0.67999923200000001</v>
      </c>
      <c r="R71" s="30">
        <f t="shared" ref="R71:R134" si="16">R70+((H71+H70)/2)*$G$3</f>
        <v>-3134.3786374386996</v>
      </c>
      <c r="S71" s="30">
        <f t="shared" ref="S71:S134" si="17">S70+((R70+R71)/2)*$G$3</f>
        <v>-1107.3059822985522</v>
      </c>
      <c r="T71" s="30">
        <f>S71/1000+'Начальные условия и парам.'!$M$21+'Начальные условия и парам.'!$K$19*'аксел-ры 1 и 2 и интегр-ие  '!Q71</f>
        <v>12.664397995435067</v>
      </c>
      <c r="V71" s="30">
        <f t="shared" ref="V71:V134" si="18">A71</f>
        <v>0.67999923200000001</v>
      </c>
      <c r="W71" s="30">
        <f t="shared" ref="W71:W134" si="19">W70+((E70+E71)/2)*$G$3</f>
        <v>5222.9961817780004</v>
      </c>
      <c r="X71" s="30">
        <f t="shared" ref="X71:X134" si="20">X70+((W70+W71)/2)*$G$3</f>
        <v>1785.7077973707453</v>
      </c>
      <c r="Y71" s="30">
        <f>X71/1000+'Начальные условия и парам.'!$G$22+'Начальные условия и парам.'!$N$19*'аксел-ры 1 и 2 и интегр-ие  '!V71</f>
        <v>0.4490712417415077</v>
      </c>
      <c r="Z71" s="30">
        <f t="shared" ref="Z71:Z134" si="21">A71</f>
        <v>0.67999923200000001</v>
      </c>
      <c r="AA71" s="30">
        <f t="shared" ref="AA71:AA134" si="22">AA70+((K70+K71)/2)*$G$3</f>
        <v>5222.9961817780004</v>
      </c>
      <c r="AB71" s="30">
        <f t="shared" ref="AB71:AB134" si="23">AB70+((AA70+AA71)/2)*$G$3</f>
        <v>1785.7077973707453</v>
      </c>
      <c r="AC71" s="30">
        <f>AB71/1000+'Начальные условия и парам.'!$M$22+'Начальные условия и парам.'!$N$19*'аксел-ры 1 и 2 и интегр-ие  '!Z71</f>
        <v>-0.23496904490983006</v>
      </c>
    </row>
    <row r="72" spans="1:29" x14ac:dyDescent="0.25">
      <c r="A72" s="12">
        <v>0.68999964000000003</v>
      </c>
      <c r="B72" s="12">
        <v>-6951.8535160000001</v>
      </c>
      <c r="C72" s="26"/>
      <c r="D72" s="12">
        <v>0.68999964000000003</v>
      </c>
      <c r="E72" s="12">
        <v>196.8180389</v>
      </c>
      <c r="F72" s="28"/>
      <c r="G72" s="12">
        <v>0.68999964000000003</v>
      </c>
      <c r="H72" s="12">
        <v>-6951.8535160000001</v>
      </c>
      <c r="I72" s="26"/>
      <c r="J72" s="12">
        <v>0.68999964000000003</v>
      </c>
      <c r="K72" s="12">
        <v>196.8180389</v>
      </c>
      <c r="M72" s="30">
        <f t="shared" si="12"/>
        <v>0.68999964000000003</v>
      </c>
      <c r="N72" s="30">
        <f t="shared" si="13"/>
        <v>-3174.6623318986994</v>
      </c>
      <c r="O72" s="30">
        <f t="shared" si="14"/>
        <v>-1138.8511871452392</v>
      </c>
      <c r="P72" s="30">
        <f>O72/1000+'Начальные условия и парам.'!$G$21+'Начальные условия и парам.'!$K$19*'аксел-ры 1 и 2 и интегр-ие  '!M72</f>
        <v>10.928361922173243</v>
      </c>
      <c r="Q72" s="30">
        <f t="shared" si="15"/>
        <v>0.68999964000000003</v>
      </c>
      <c r="R72" s="30">
        <f t="shared" si="16"/>
        <v>-3174.6623318986994</v>
      </c>
      <c r="S72" s="30">
        <f t="shared" si="17"/>
        <v>-1138.8511871452392</v>
      </c>
      <c r="T72" s="30">
        <f>S72/1000+'Начальные условия и парам.'!$M$21+'Начальные условия и парам.'!$K$19*'аксел-ры 1 и 2 и интегр-ие  '!Q72</f>
        <v>12.807747163745059</v>
      </c>
      <c r="V72" s="30">
        <f t="shared" si="18"/>
        <v>0.68999964000000003</v>
      </c>
      <c r="W72" s="30">
        <f t="shared" si="19"/>
        <v>5269.1170834975001</v>
      </c>
      <c r="X72" s="30">
        <f t="shared" si="20"/>
        <v>1838.1683636971229</v>
      </c>
      <c r="Y72" s="30">
        <f>X72/1000+'Начальные условия и парам.'!$G$22+'Начальные условия и парам.'!$N$19*'аксел-ры 1 и 2 и интегр-ие  '!V72</f>
        <v>0.4378754620982086</v>
      </c>
      <c r="Z72" s="30">
        <f t="shared" si="21"/>
        <v>0.68999964000000003</v>
      </c>
      <c r="AA72" s="30">
        <f t="shared" si="22"/>
        <v>5269.1170834975001</v>
      </c>
      <c r="AB72" s="30">
        <f t="shared" si="23"/>
        <v>1838.1683636971229</v>
      </c>
      <c r="AC72" s="30">
        <f>AB72/1000+'Начальные условия и парам.'!$M$22+'Начальные условия и парам.'!$N$19*'аксел-ры 1 и 2 и интегр-ие  '!Z72</f>
        <v>-0.24616482455312916</v>
      </c>
    </row>
    <row r="73" spans="1:29" x14ac:dyDescent="0.25">
      <c r="A73" s="12">
        <v>0.69999951100000002</v>
      </c>
      <c r="B73" s="12">
        <v>-7377.3969729999999</v>
      </c>
      <c r="C73" s="26"/>
      <c r="D73" s="12">
        <v>0.69999951100000002</v>
      </c>
      <c r="E73" s="12">
        <v>3154.133057</v>
      </c>
      <c r="F73" s="28"/>
      <c r="G73" s="12">
        <v>0.69999951100000002</v>
      </c>
      <c r="H73" s="12">
        <v>-7377.3969729999999</v>
      </c>
      <c r="I73" s="26"/>
      <c r="J73" s="12">
        <v>0.69999951100000002</v>
      </c>
      <c r="K73" s="12">
        <v>3154.133057</v>
      </c>
      <c r="M73" s="30">
        <f t="shared" si="12"/>
        <v>0.69999951100000002</v>
      </c>
      <c r="N73" s="30">
        <f t="shared" si="13"/>
        <v>-3246.3085843436993</v>
      </c>
      <c r="O73" s="30">
        <f t="shared" si="14"/>
        <v>-1170.9560417264513</v>
      </c>
      <c r="P73" s="30">
        <f>O73/1000+'Начальные условия и парам.'!$G$21+'Начальные условия и парам.'!$K$19*'аксел-ры 1 и 2 и интегр-ие  '!M73</f>
        <v>11.07114204930404</v>
      </c>
      <c r="Q73" s="30">
        <f t="shared" si="15"/>
        <v>0.69999951100000002</v>
      </c>
      <c r="R73" s="30">
        <f t="shared" si="16"/>
        <v>-3246.3085843436993</v>
      </c>
      <c r="S73" s="30">
        <f t="shared" si="17"/>
        <v>-1170.9560417264513</v>
      </c>
      <c r="T73" s="30">
        <f>S73/1000+'Начальные условия и парам.'!$M$21+'Начальные условия и парам.'!$K$19*'аксел-ры 1 и 2 и интегр-ие  '!Q73</f>
        <v>12.950527290875858</v>
      </c>
      <c r="V73" s="30">
        <f t="shared" si="18"/>
        <v>0.69999951100000002</v>
      </c>
      <c r="W73" s="30">
        <f t="shared" si="19"/>
        <v>5285.8718389770002</v>
      </c>
      <c r="X73" s="30">
        <f t="shared" si="20"/>
        <v>1890.9433083094955</v>
      </c>
      <c r="Y73" s="30">
        <f>X73/1000+'Начальные условия и парам.'!$G$22+'Начальные условия и парам.'!$N$19*'аксел-ры 1 и 2 и интегр-ие  '!V73</f>
        <v>0.42699747894722062</v>
      </c>
      <c r="Z73" s="30">
        <f t="shared" si="21"/>
        <v>0.69999951100000002</v>
      </c>
      <c r="AA73" s="30">
        <f t="shared" si="22"/>
        <v>5285.8718389770002</v>
      </c>
      <c r="AB73" s="30">
        <f t="shared" si="23"/>
        <v>1890.9433083094955</v>
      </c>
      <c r="AC73" s="30">
        <f>AB73/1000+'Начальные условия и парам.'!$M$22+'Начальные условия и парам.'!$N$19*'аксел-ры 1 и 2 и интегр-ие  '!Z73</f>
        <v>-0.25704280770411714</v>
      </c>
    </row>
    <row r="74" spans="1:29" x14ac:dyDescent="0.25">
      <c r="A74" s="12">
        <v>0.70999938299999998</v>
      </c>
      <c r="B74" s="12">
        <v>-4572.8247069999998</v>
      </c>
      <c r="C74" s="26"/>
      <c r="D74" s="12">
        <v>0.70999938299999998</v>
      </c>
      <c r="E74" s="12">
        <v>3636.3154300000001</v>
      </c>
      <c r="F74" s="28"/>
      <c r="G74" s="12">
        <v>0.70999938299999998</v>
      </c>
      <c r="H74" s="12">
        <v>-4572.8247069999998</v>
      </c>
      <c r="I74" s="26"/>
      <c r="J74" s="12">
        <v>0.70999938299999998</v>
      </c>
      <c r="K74" s="12">
        <v>3636.3154300000001</v>
      </c>
      <c r="M74" s="30">
        <f t="shared" si="12"/>
        <v>0.70999938299999998</v>
      </c>
      <c r="N74" s="30">
        <f t="shared" si="13"/>
        <v>-3306.0596927436991</v>
      </c>
      <c r="O74" s="30">
        <f t="shared" si="14"/>
        <v>-1203.7178831118883</v>
      </c>
      <c r="P74" s="30">
        <f>O74/1000+'Начальные условия и парам.'!$G$21+'Начальные условия и парам.'!$K$19*'аксел-ры 1 и 2 и интегр-ие  '!M74</f>
        <v>11.213265207119337</v>
      </c>
      <c r="Q74" s="30">
        <f t="shared" si="15"/>
        <v>0.70999938299999998</v>
      </c>
      <c r="R74" s="30">
        <f t="shared" si="16"/>
        <v>-3306.0596927436991</v>
      </c>
      <c r="S74" s="30">
        <f t="shared" si="17"/>
        <v>-1203.7178831118883</v>
      </c>
      <c r="T74" s="30">
        <f>S74/1000+'Начальные условия и парам.'!$M$21+'Начальные условия и парам.'!$K$19*'аксел-ры 1 и 2 и интегр-ие  '!Q74</f>
        <v>13.092650448691154</v>
      </c>
      <c r="V74" s="30">
        <f t="shared" si="18"/>
        <v>0.70999938299999998</v>
      </c>
      <c r="W74" s="30">
        <f t="shared" si="19"/>
        <v>5319.8240814119999</v>
      </c>
      <c r="X74" s="30">
        <f t="shared" si="20"/>
        <v>1943.9717879114405</v>
      </c>
      <c r="Y74" s="30">
        <f>X74/1000+'Начальные условия и парам.'!$G$22+'Начальные условия и парам.'!$N$19*'аксел-ры 1 и 2 и интегр-ие  '!V74</f>
        <v>0.41637302442043023</v>
      </c>
      <c r="Z74" s="30">
        <f t="shared" si="21"/>
        <v>0.70999938299999998</v>
      </c>
      <c r="AA74" s="30">
        <f t="shared" si="22"/>
        <v>5319.8240814119999</v>
      </c>
      <c r="AB74" s="30">
        <f t="shared" si="23"/>
        <v>1943.9717879114405</v>
      </c>
      <c r="AC74" s="30">
        <f>AB74/1000+'Начальные условия и парам.'!$M$22+'Начальные условия и парам.'!$N$19*'аксел-ры 1 и 2 и интегр-ие  '!Z74</f>
        <v>-0.26766726223090753</v>
      </c>
    </row>
    <row r="75" spans="1:29" x14ac:dyDescent="0.25">
      <c r="A75" s="12">
        <v>0.71999919400000001</v>
      </c>
      <c r="B75" s="12">
        <v>-1018.175659</v>
      </c>
      <c r="C75" s="26"/>
      <c r="D75" s="12">
        <v>0.71999919400000001</v>
      </c>
      <c r="E75" s="12">
        <v>-3835.1064449999999</v>
      </c>
      <c r="F75" s="28"/>
      <c r="G75" s="12">
        <v>0.71999919400000001</v>
      </c>
      <c r="H75" s="12">
        <v>-1018.175659</v>
      </c>
      <c r="I75" s="26"/>
      <c r="J75" s="12">
        <v>0.71999919400000001</v>
      </c>
      <c r="K75" s="12">
        <v>-3835.1064449999999</v>
      </c>
      <c r="M75" s="30">
        <f t="shared" si="12"/>
        <v>0.71999919400000001</v>
      </c>
      <c r="N75" s="30">
        <f t="shared" si="13"/>
        <v>-3334.0146945736992</v>
      </c>
      <c r="O75" s="30">
        <f t="shared" si="14"/>
        <v>-1236.9182550484754</v>
      </c>
      <c r="P75" s="30">
        <f>O75/1000+'Начальные условия и парам.'!$G$21+'Начальные условия и парам.'!$K$19*'аксел-ры 1 и 2 и интегр-ие  '!M75</f>
        <v>11.354948767571333</v>
      </c>
      <c r="Q75" s="30">
        <f t="shared" si="15"/>
        <v>0.71999919400000001</v>
      </c>
      <c r="R75" s="30">
        <f t="shared" si="16"/>
        <v>-3334.0146945736992</v>
      </c>
      <c r="S75" s="30">
        <f t="shared" si="17"/>
        <v>-1236.9182550484754</v>
      </c>
      <c r="T75" s="30">
        <f>S75/1000+'Начальные условия и парам.'!$M$21+'Начальные условия и парам.'!$K$19*'аксел-ры 1 и 2 и интегр-ие  '!Q75</f>
        <v>13.234334009143151</v>
      </c>
      <c r="V75" s="30">
        <f t="shared" si="18"/>
        <v>0.71999919400000001</v>
      </c>
      <c r="W75" s="30">
        <f t="shared" si="19"/>
        <v>5318.8301263370004</v>
      </c>
      <c r="X75" s="30">
        <f t="shared" si="20"/>
        <v>1997.1650589501855</v>
      </c>
      <c r="Y75" s="30">
        <f>X75/1000+'Начальные условия и парам.'!$G$22+'Начальные условия и парам.'!$N$19*'аксел-ры 1 и 2 и интегр-ие  '!V75</f>
        <v>0.40591374961830695</v>
      </c>
      <c r="Z75" s="30">
        <f t="shared" si="21"/>
        <v>0.71999919400000001</v>
      </c>
      <c r="AA75" s="30">
        <f t="shared" si="22"/>
        <v>5318.8301263370004</v>
      </c>
      <c r="AB75" s="30">
        <f t="shared" si="23"/>
        <v>1997.1650589501855</v>
      </c>
      <c r="AC75" s="30">
        <f>AB75/1000+'Начальные условия и парам.'!$M$22+'Начальные условия и парам.'!$N$19*'аксел-ры 1 и 2 и интегр-ие  '!Z75</f>
        <v>-0.27812653703303081</v>
      </c>
    </row>
    <row r="76" spans="1:29" x14ac:dyDescent="0.25">
      <c r="A76" s="12">
        <v>0.72999960200000003</v>
      </c>
      <c r="B76" s="12">
        <v>2166.6567380000001</v>
      </c>
      <c r="C76" s="26"/>
      <c r="D76" s="12">
        <v>0.72999960200000003</v>
      </c>
      <c r="E76" s="12">
        <v>-3723.656982</v>
      </c>
      <c r="F76" s="28"/>
      <c r="G76" s="12">
        <v>0.72999960200000003</v>
      </c>
      <c r="H76" s="12">
        <v>2166.6567380000001</v>
      </c>
      <c r="I76" s="26"/>
      <c r="J76" s="12">
        <v>0.72999960200000003</v>
      </c>
      <c r="K76" s="12">
        <v>-3723.656982</v>
      </c>
      <c r="M76" s="30">
        <f t="shared" si="12"/>
        <v>0.72999960200000003</v>
      </c>
      <c r="N76" s="30">
        <f t="shared" si="13"/>
        <v>-3328.2722891786993</v>
      </c>
      <c r="O76" s="30">
        <f t="shared" si="14"/>
        <v>-1270.2296899672374</v>
      </c>
      <c r="P76" s="30">
        <f>O76/1000+'Начальные условия и парам.'!$G$21+'Начальные условия и парам.'!$K$19*'аксел-ры 1 и 2 и интегр-ие  '!M76</f>
        <v>11.49653170580925</v>
      </c>
      <c r="Q76" s="30">
        <f t="shared" si="15"/>
        <v>0.72999960200000003</v>
      </c>
      <c r="R76" s="30">
        <f t="shared" si="16"/>
        <v>-3328.2722891786993</v>
      </c>
      <c r="S76" s="30">
        <f t="shared" si="17"/>
        <v>-1270.2296899672374</v>
      </c>
      <c r="T76" s="30">
        <f>S76/1000+'Начальные условия и парам.'!$M$21+'Начальные условия и парам.'!$K$19*'аксел-ры 1 и 2 и интегр-ие  '!Q76</f>
        <v>13.375916947381068</v>
      </c>
      <c r="V76" s="30">
        <f t="shared" si="18"/>
        <v>0.72999960200000003</v>
      </c>
      <c r="W76" s="30">
        <f t="shared" si="19"/>
        <v>5281.0363092020007</v>
      </c>
      <c r="X76" s="30">
        <f t="shared" si="20"/>
        <v>2050.1643911278807</v>
      </c>
      <c r="Y76" s="30">
        <f>X76/1000+'Начальные условия и парам.'!$G$22+'Начальные условия и парам.'!$N$19*'аксел-ры 1 и 2 и интегр-ие  '!V76</f>
        <v>0.39525673582632592</v>
      </c>
      <c r="Z76" s="30">
        <f t="shared" si="21"/>
        <v>0.72999960200000003</v>
      </c>
      <c r="AA76" s="30">
        <f t="shared" si="22"/>
        <v>5281.0363092020007</v>
      </c>
      <c r="AB76" s="30">
        <f t="shared" si="23"/>
        <v>2050.1643911278807</v>
      </c>
      <c r="AC76" s="30">
        <f>AB76/1000+'Начальные условия и парам.'!$M$22+'Начальные условия и парам.'!$N$19*'аксел-ры 1 и 2 и интегр-ие  '!Z76</f>
        <v>-0.28878355082501184</v>
      </c>
    </row>
    <row r="77" spans="1:29" x14ac:dyDescent="0.25">
      <c r="A77" s="12">
        <v>0.73999947300000002</v>
      </c>
      <c r="B77" s="12">
        <v>2336.4904790000001</v>
      </c>
      <c r="C77" s="26"/>
      <c r="D77" s="12">
        <v>0.73999947300000002</v>
      </c>
      <c r="E77" s="12">
        <v>8620.6640630000002</v>
      </c>
      <c r="F77" s="28"/>
      <c r="G77" s="12">
        <v>0.73999947300000002</v>
      </c>
      <c r="H77" s="12">
        <v>2336.4904790000001</v>
      </c>
      <c r="I77" s="26"/>
      <c r="J77" s="12">
        <v>0.73999947300000002</v>
      </c>
      <c r="K77" s="12">
        <v>8620.6640630000002</v>
      </c>
      <c r="M77" s="30">
        <f t="shared" si="12"/>
        <v>0.73999947300000002</v>
      </c>
      <c r="N77" s="30">
        <f t="shared" si="13"/>
        <v>-3305.7565530936995</v>
      </c>
      <c r="O77" s="30">
        <f t="shared" si="14"/>
        <v>-1303.3998341785993</v>
      </c>
      <c r="P77" s="30">
        <f>O77/1000+'Начальные условия и парам.'!$G$21+'Начальные условия и парам.'!$K$19*'аксел-ры 1 и 2 и интегр-ие  '!M77</f>
        <v>11.638246543309899</v>
      </c>
      <c r="Q77" s="30">
        <f t="shared" si="15"/>
        <v>0.73999947300000002</v>
      </c>
      <c r="R77" s="30">
        <f t="shared" si="16"/>
        <v>-3305.7565530936995</v>
      </c>
      <c r="S77" s="30">
        <f t="shared" si="17"/>
        <v>-1303.3998341785993</v>
      </c>
      <c r="T77" s="30">
        <f>S77/1000+'Начальные условия и парам.'!$M$21+'Начальные условия и парам.'!$K$19*'аксел-ры 1 и 2 и интегр-ие  '!Q77</f>
        <v>13.517631784881715</v>
      </c>
      <c r="V77" s="30">
        <f t="shared" si="18"/>
        <v>0.73999947300000002</v>
      </c>
      <c r="W77" s="30">
        <f t="shared" si="19"/>
        <v>5305.5213446070011</v>
      </c>
      <c r="X77" s="30">
        <f t="shared" si="20"/>
        <v>2103.0971793969256</v>
      </c>
      <c r="Y77" s="30">
        <f>X77/1000+'Начальные условия и парам.'!$G$22+'Начальные условия и парам.'!$N$19*'аксел-ры 1 и 2 и интегр-ие  '!V77</f>
        <v>0.38453659633201021</v>
      </c>
      <c r="Z77" s="30">
        <f t="shared" si="21"/>
        <v>0.73999947300000002</v>
      </c>
      <c r="AA77" s="30">
        <f t="shared" si="22"/>
        <v>5305.5213446070011</v>
      </c>
      <c r="AB77" s="30">
        <f t="shared" si="23"/>
        <v>2103.0971793969256</v>
      </c>
      <c r="AC77" s="30">
        <f>AB77/1000+'Начальные условия и парам.'!$M$22+'Начальные условия и парам.'!$N$19*'аксел-ры 1 и 2 и интегр-ие  '!Z77</f>
        <v>-0.29950369031932755</v>
      </c>
    </row>
    <row r="78" spans="1:29" x14ac:dyDescent="0.25">
      <c r="A78" s="12">
        <v>0.74999928500000002</v>
      </c>
      <c r="B78" s="12">
        <v>-1653.764893</v>
      </c>
      <c r="C78" s="26"/>
      <c r="D78" s="12">
        <v>0.74999928500000002</v>
      </c>
      <c r="E78" s="12">
        <v>18518.896479999999</v>
      </c>
      <c r="F78" s="28"/>
      <c r="G78" s="12">
        <v>0.74999928500000002</v>
      </c>
      <c r="H78" s="12">
        <v>-1653.764893</v>
      </c>
      <c r="I78" s="26"/>
      <c r="J78" s="12">
        <v>0.74999928500000002</v>
      </c>
      <c r="K78" s="12">
        <v>18518.896479999999</v>
      </c>
      <c r="M78" s="30">
        <f t="shared" si="12"/>
        <v>0.74999928500000002</v>
      </c>
      <c r="N78" s="30">
        <f t="shared" si="13"/>
        <v>-3302.3429251636994</v>
      </c>
      <c r="O78" s="30">
        <f t="shared" si="14"/>
        <v>-1336.4403315698864</v>
      </c>
      <c r="P78" s="30">
        <f>O78/1000+'Начальные условия и парам.'!$G$21+'Начальные условия и парам.'!$K$19*'аксел-ры 1 и 2 и интегр-ие  '!M78</f>
        <v>11.780089995795919</v>
      </c>
      <c r="Q78" s="30">
        <f t="shared" si="15"/>
        <v>0.74999928500000002</v>
      </c>
      <c r="R78" s="30">
        <f t="shared" si="16"/>
        <v>-3302.3429251636994</v>
      </c>
      <c r="S78" s="30">
        <f t="shared" si="17"/>
        <v>-1336.4403315698864</v>
      </c>
      <c r="T78" s="30">
        <f>S78/1000+'Начальные условия и парам.'!$M$21+'Начальные условия и парам.'!$K$19*'аксел-ры 1 и 2 и интегр-ие  '!Q78</f>
        <v>13.659475237367735</v>
      </c>
      <c r="V78" s="30">
        <f t="shared" si="18"/>
        <v>0.74999928500000002</v>
      </c>
      <c r="W78" s="30">
        <f t="shared" si="19"/>
        <v>5441.2191473220009</v>
      </c>
      <c r="X78" s="30">
        <f t="shared" si="20"/>
        <v>2156.8308818565706</v>
      </c>
      <c r="Y78" s="30">
        <f>X78/1000+'Начальные условия и парам.'!$G$22+'Начальные условия и парам.'!$N$19*'аксел-ры 1 и 2 и интегр-ие  '!V78</f>
        <v>0.37461774658541191</v>
      </c>
      <c r="Z78" s="30">
        <f t="shared" si="21"/>
        <v>0.74999928500000002</v>
      </c>
      <c r="AA78" s="30">
        <f t="shared" si="22"/>
        <v>5441.2191473220009</v>
      </c>
      <c r="AB78" s="30">
        <f t="shared" si="23"/>
        <v>2156.8308818565706</v>
      </c>
      <c r="AC78" s="30">
        <f>AB78/1000+'Начальные условия и парам.'!$M$22+'Начальные условия и парам.'!$N$19*'аксел-ры 1 и 2 и интегр-ие  '!Z78</f>
        <v>-0.30942254006592584</v>
      </c>
    </row>
    <row r="79" spans="1:29" x14ac:dyDescent="0.25">
      <c r="A79" s="12">
        <v>0.75999915600000001</v>
      </c>
      <c r="B79" s="12">
        <v>-6481.8095700000003</v>
      </c>
      <c r="C79" s="26"/>
      <c r="D79" s="12">
        <v>0.75999915600000001</v>
      </c>
      <c r="E79" s="12">
        <v>20772.628909999999</v>
      </c>
      <c r="F79" s="28"/>
      <c r="G79" s="12">
        <v>0.75999915600000001</v>
      </c>
      <c r="H79" s="12">
        <v>-6481.8095700000003</v>
      </c>
      <c r="I79" s="26"/>
      <c r="J79" s="12">
        <v>0.75999915600000001</v>
      </c>
      <c r="K79" s="12">
        <v>20772.628909999999</v>
      </c>
      <c r="M79" s="30">
        <f t="shared" si="12"/>
        <v>0.75999915600000001</v>
      </c>
      <c r="N79" s="30">
        <f t="shared" si="13"/>
        <v>-3343.0207974786995</v>
      </c>
      <c r="O79" s="30">
        <f t="shared" si="14"/>
        <v>-1369.6671501830983</v>
      </c>
      <c r="P79" s="30">
        <f>O79/1000+'Начальные условия и парам.'!$G$21+'Начальные условия и парам.'!$K$19*'аксел-ры 1 и 2 и интегр-ие  '!M79</f>
        <v>11.921748158894717</v>
      </c>
      <c r="Q79" s="30">
        <f t="shared" si="15"/>
        <v>0.75999915600000001</v>
      </c>
      <c r="R79" s="30">
        <f t="shared" si="16"/>
        <v>-3343.0207974786995</v>
      </c>
      <c r="S79" s="30">
        <f t="shared" si="17"/>
        <v>-1369.6671501830983</v>
      </c>
      <c r="T79" s="30">
        <f>S79/1000+'Начальные условия и парам.'!$M$21+'Начальные условия и парам.'!$K$19*'аксел-ры 1 и 2 и интегр-ие  '!Q79</f>
        <v>13.801133400466533</v>
      </c>
      <c r="V79" s="30">
        <f t="shared" si="18"/>
        <v>0.75999915600000001</v>
      </c>
      <c r="W79" s="30">
        <f t="shared" si="19"/>
        <v>5637.6767742720012</v>
      </c>
      <c r="X79" s="30">
        <f t="shared" si="20"/>
        <v>2212.2253614645406</v>
      </c>
      <c r="Y79" s="30">
        <f>X79/1000+'Начальные условия и парам.'!$G$22+'Начальные условия и парам.'!$N$19*'аксел-ры 1 и 2 и интегр-ие  '!V79</f>
        <v>0.36635929843002124</v>
      </c>
      <c r="Z79" s="30">
        <f t="shared" si="21"/>
        <v>0.75999915600000001</v>
      </c>
      <c r="AA79" s="30">
        <f t="shared" si="22"/>
        <v>5637.6767742720012</v>
      </c>
      <c r="AB79" s="30">
        <f t="shared" si="23"/>
        <v>2212.2253614645406</v>
      </c>
      <c r="AC79" s="30">
        <f>AB79/1000+'Начальные условия и парам.'!$M$22+'Начальные условия и парам.'!$N$19*'аксел-ры 1 и 2 и интегр-ие  '!Z79</f>
        <v>-0.31768098822131563</v>
      </c>
    </row>
    <row r="80" spans="1:29" x14ac:dyDescent="0.25">
      <c r="A80" s="12">
        <v>0.76999956400000003</v>
      </c>
      <c r="B80" s="12">
        <v>-8173.0434569999998</v>
      </c>
      <c r="C80" s="26"/>
      <c r="D80" s="12">
        <v>0.76999956400000003</v>
      </c>
      <c r="E80" s="12">
        <v>26308.355469999999</v>
      </c>
      <c r="F80" s="28"/>
      <c r="G80" s="12">
        <v>0.76999956400000003</v>
      </c>
      <c r="H80" s="12">
        <v>-8173.0434569999998</v>
      </c>
      <c r="I80" s="26"/>
      <c r="J80" s="12">
        <v>0.76999956400000003</v>
      </c>
      <c r="K80" s="12">
        <v>26308.355469999999</v>
      </c>
      <c r="M80" s="30">
        <f t="shared" si="12"/>
        <v>0.76999956400000003</v>
      </c>
      <c r="N80" s="30">
        <f t="shared" si="13"/>
        <v>-3416.2950626136994</v>
      </c>
      <c r="O80" s="30">
        <f t="shared" si="14"/>
        <v>-1403.4637294835604</v>
      </c>
      <c r="P80" s="30">
        <f>O80/1000+'Начальные условия и парам.'!$G$21+'Начальные условия и парам.'!$K$19*'аксел-ры 1 и 2 и интегр-ие  '!M80</f>
        <v>12.062845952750934</v>
      </c>
      <c r="Q80" s="30">
        <f t="shared" si="15"/>
        <v>0.76999956400000003</v>
      </c>
      <c r="R80" s="30">
        <f t="shared" si="16"/>
        <v>-3416.2950626136994</v>
      </c>
      <c r="S80" s="30">
        <f t="shared" si="17"/>
        <v>-1403.4637294835604</v>
      </c>
      <c r="T80" s="30">
        <f>S80/1000+'Начальные условия и парам.'!$M$21+'Начальные условия и парам.'!$K$19*'аксел-ры 1 и 2 и интегр-ие  '!Q80</f>
        <v>13.942231194322749</v>
      </c>
      <c r="V80" s="30">
        <f t="shared" si="18"/>
        <v>0.76999956400000003</v>
      </c>
      <c r="W80" s="30">
        <f t="shared" si="19"/>
        <v>5873.0816961720011</v>
      </c>
      <c r="X80" s="30">
        <f t="shared" si="20"/>
        <v>2269.7791538167608</v>
      </c>
      <c r="Y80" s="30">
        <f>X80/1000+'Начальные условия и парам.'!$G$22+'Начальные условия и парам.'!$N$19*'аксел-ры 1 и 2 и интегр-ие  '!V80</f>
        <v>0.3602567448125642</v>
      </c>
      <c r="Z80" s="30">
        <f t="shared" si="21"/>
        <v>0.76999956400000003</v>
      </c>
      <c r="AA80" s="30">
        <f t="shared" si="22"/>
        <v>5873.0816961720011</v>
      </c>
      <c r="AB80" s="30">
        <f t="shared" si="23"/>
        <v>2269.7791538167608</v>
      </c>
      <c r="AC80" s="30">
        <f>AB80/1000+'Начальные условия и парам.'!$M$22+'Начальные условия и парам.'!$N$19*'аксел-ры 1 и 2 и интегр-ие  '!Z80</f>
        <v>-0.32378354183877267</v>
      </c>
    </row>
    <row r="81" spans="1:29" x14ac:dyDescent="0.25">
      <c r="A81" s="12">
        <v>0.77999937500000005</v>
      </c>
      <c r="B81" s="12">
        <v>-6282.1469729999999</v>
      </c>
      <c r="C81" s="26"/>
      <c r="D81" s="12">
        <v>0.77999937500000005</v>
      </c>
      <c r="E81" s="12">
        <v>38499.867189999997</v>
      </c>
      <c r="F81" s="28"/>
      <c r="G81" s="12">
        <v>0.77999937500000005</v>
      </c>
      <c r="H81" s="12">
        <v>-6282.1469729999999</v>
      </c>
      <c r="I81" s="26"/>
      <c r="J81" s="12">
        <v>0.77999937500000005</v>
      </c>
      <c r="K81" s="12">
        <v>38499.867189999997</v>
      </c>
      <c r="M81" s="30">
        <f t="shared" si="12"/>
        <v>0.77999937500000005</v>
      </c>
      <c r="N81" s="30">
        <f t="shared" si="13"/>
        <v>-3488.5710147636996</v>
      </c>
      <c r="O81" s="30">
        <f t="shared" si="14"/>
        <v>-1437.9880598704474</v>
      </c>
      <c r="P81" s="30">
        <f>O81/1000+'Начальные условия и парам.'!$G$21+'Начальные условия и парам.'!$K$19*'аксел-ры 1 и 2 и интегр-ие  '!M81</f>
        <v>12.20320555475263</v>
      </c>
      <c r="Q81" s="30">
        <f t="shared" si="15"/>
        <v>0.77999937500000005</v>
      </c>
      <c r="R81" s="30">
        <f t="shared" si="16"/>
        <v>-3488.5710147636996</v>
      </c>
      <c r="S81" s="30">
        <f t="shared" si="17"/>
        <v>-1437.9880598704474</v>
      </c>
      <c r="T81" s="30">
        <f>S81/1000+'Начальные условия и парам.'!$M$21+'Начальные условия и парам.'!$K$19*'аксел-ры 1 и 2 и интегр-ие  '!Q81</f>
        <v>14.082590796324446</v>
      </c>
      <c r="V81" s="30">
        <f t="shared" si="18"/>
        <v>0.77999937500000005</v>
      </c>
      <c r="W81" s="30">
        <f t="shared" si="19"/>
        <v>6197.1228094720009</v>
      </c>
      <c r="X81" s="30">
        <f t="shared" si="20"/>
        <v>2330.1301763449806</v>
      </c>
      <c r="Y81" s="30">
        <f>X81/1000+'Начальные условия и парам.'!$G$22+'Начальные условия и парам.'!$N$19*'аксел-ры 1 и 2 и интегр-ие  '!V81</f>
        <v>0.35695522149991632</v>
      </c>
      <c r="Z81" s="30">
        <f t="shared" si="21"/>
        <v>0.77999937500000005</v>
      </c>
      <c r="AA81" s="30">
        <f t="shared" si="22"/>
        <v>6197.1228094720009</v>
      </c>
      <c r="AB81" s="30">
        <f t="shared" si="23"/>
        <v>2330.1301763449806</v>
      </c>
      <c r="AC81" s="30">
        <f>AB81/1000+'Начальные условия и парам.'!$M$22+'Начальные условия и парам.'!$N$19*'аксел-ры 1 и 2 и интегр-ие  '!Z81</f>
        <v>-0.32708506515142055</v>
      </c>
    </row>
    <row r="82" spans="1:29" x14ac:dyDescent="0.25">
      <c r="A82" s="12">
        <v>0.78999924700000002</v>
      </c>
      <c r="B82" s="12">
        <v>-2999.9792480000001</v>
      </c>
      <c r="C82" s="26"/>
      <c r="D82" s="12">
        <v>0.78999924700000002</v>
      </c>
      <c r="E82" s="12">
        <v>43347.15625</v>
      </c>
      <c r="F82" s="28"/>
      <c r="G82" s="12">
        <v>0.78999924700000002</v>
      </c>
      <c r="H82" s="12">
        <v>-2999.9792480000001</v>
      </c>
      <c r="I82" s="26"/>
      <c r="J82" s="12">
        <v>0.78999924700000002</v>
      </c>
      <c r="K82" s="12">
        <v>43347.15625</v>
      </c>
      <c r="M82" s="30">
        <f t="shared" si="12"/>
        <v>0.78999924700000002</v>
      </c>
      <c r="N82" s="30">
        <f t="shared" si="13"/>
        <v>-3534.9816458686996</v>
      </c>
      <c r="O82" s="30">
        <f t="shared" si="14"/>
        <v>-1473.1058231736095</v>
      </c>
      <c r="P82" s="30">
        <f>O82/1000+'Начальные условия и парам.'!$G$21+'Начальные условия и парам.'!$K$19*'аксел-ры 1 и 2 и интегр-ие  '!M82</f>
        <v>12.342972790650201</v>
      </c>
      <c r="Q82" s="30">
        <f t="shared" si="15"/>
        <v>0.78999924700000002</v>
      </c>
      <c r="R82" s="30">
        <f t="shared" si="16"/>
        <v>-3534.9816458686996</v>
      </c>
      <c r="S82" s="30">
        <f t="shared" si="17"/>
        <v>-1473.1058231736095</v>
      </c>
      <c r="T82" s="30">
        <f>S82/1000+'Начальные условия и парам.'!$M$21+'Начальные условия и парам.'!$K$19*'аксел-ры 1 и 2 и интегр-ие  '!Q82</f>
        <v>14.222358032222019</v>
      </c>
      <c r="V82" s="30">
        <f t="shared" si="18"/>
        <v>0.78999924700000002</v>
      </c>
      <c r="W82" s="30">
        <f t="shared" si="19"/>
        <v>6606.3579266720008</v>
      </c>
      <c r="X82" s="30">
        <f t="shared" si="20"/>
        <v>2394.1475800257003</v>
      </c>
      <c r="Y82" s="30">
        <f>X82/1000+'Начальные условия и парам.'!$G$22+'Начальные условия и парам.'!$N$19*'аксел-ры 1 и 2 и интегр-ие  '!V82</f>
        <v>0.35731969105190053</v>
      </c>
      <c r="Z82" s="30">
        <f t="shared" si="21"/>
        <v>0.78999924700000002</v>
      </c>
      <c r="AA82" s="30">
        <f t="shared" si="22"/>
        <v>6606.3579266720008</v>
      </c>
      <c r="AB82" s="30">
        <f t="shared" si="23"/>
        <v>2394.1475800257003</v>
      </c>
      <c r="AC82" s="30">
        <f>AB82/1000+'Начальные условия и парам.'!$M$22+'Начальные условия и парам.'!$N$19*'аксел-ры 1 и 2 и интегр-ие  '!Z82</f>
        <v>-0.32672059559943722</v>
      </c>
    </row>
    <row r="83" spans="1:29" x14ac:dyDescent="0.25">
      <c r="A83" s="12">
        <v>0.79999911800000001</v>
      </c>
      <c r="B83" s="12">
        <v>307.24255369999997</v>
      </c>
      <c r="C83" s="26"/>
      <c r="D83" s="12">
        <v>0.79999911800000001</v>
      </c>
      <c r="E83" s="12">
        <v>27231.998049999998</v>
      </c>
      <c r="F83" s="28"/>
      <c r="G83" s="12">
        <v>0.79999911800000001</v>
      </c>
      <c r="H83" s="12">
        <v>307.24255369999997</v>
      </c>
      <c r="I83" s="26"/>
      <c r="J83" s="12">
        <v>0.79999911800000001</v>
      </c>
      <c r="K83" s="12">
        <v>27231.998049999998</v>
      </c>
      <c r="M83" s="30">
        <f t="shared" si="12"/>
        <v>0.79999911800000001</v>
      </c>
      <c r="N83" s="30">
        <f t="shared" si="13"/>
        <v>-3548.4453293401998</v>
      </c>
      <c r="O83" s="30">
        <f t="shared" si="14"/>
        <v>-1508.5229580496539</v>
      </c>
      <c r="P83" s="30">
        <f>O83/1000+'Начальные условия и парам.'!$G$21+'Начальные условия и парам.'!$K$19*'аксел-ры 1 и 2 и интегр-ие  '!M83</f>
        <v>12.482440637486167</v>
      </c>
      <c r="Q83" s="30">
        <f t="shared" si="15"/>
        <v>0.79999911800000001</v>
      </c>
      <c r="R83" s="30">
        <f t="shared" si="16"/>
        <v>-3548.4453293401998</v>
      </c>
      <c r="S83" s="30">
        <f t="shared" si="17"/>
        <v>-1508.5229580496539</v>
      </c>
      <c r="T83" s="30">
        <f>S83/1000+'Начальные условия и парам.'!$M$21+'Начальные условия и парам.'!$K$19*'аксел-ры 1 и 2 и интегр-ие  '!Q83</f>
        <v>14.361825879057983</v>
      </c>
      <c r="V83" s="30">
        <f t="shared" si="18"/>
        <v>0.79999911800000001</v>
      </c>
      <c r="W83" s="30">
        <f t="shared" si="19"/>
        <v>6959.2536981720004</v>
      </c>
      <c r="X83" s="30">
        <f t="shared" si="20"/>
        <v>2461.9756381499205</v>
      </c>
      <c r="Y83" s="30">
        <f>X83/1000+'Начальные условия и парам.'!$G$22+'Начальные условия и парам.'!$N$19*'аксел-ры 1 и 2 и интегр-ие  '!V83</f>
        <v>0.36149482141276046</v>
      </c>
      <c r="Z83" s="30">
        <f t="shared" si="21"/>
        <v>0.79999911800000001</v>
      </c>
      <c r="AA83" s="30">
        <f t="shared" si="22"/>
        <v>6959.2536981720004</v>
      </c>
      <c r="AB83" s="30">
        <f t="shared" si="23"/>
        <v>2461.9756381499205</v>
      </c>
      <c r="AC83" s="30">
        <f>AB83/1000+'Начальные условия и парам.'!$M$22+'Начальные условия и парам.'!$N$19*'аксел-ры 1 и 2 и интегр-ие  '!Z83</f>
        <v>-0.3225454652385773</v>
      </c>
    </row>
    <row r="84" spans="1:29" x14ac:dyDescent="0.25">
      <c r="A84" s="12">
        <v>0.80999952600000003</v>
      </c>
      <c r="B84" s="12">
        <v>3461.3852539999998</v>
      </c>
      <c r="C84" s="26"/>
      <c r="D84" s="12">
        <v>0.80999952600000003</v>
      </c>
      <c r="E84" s="12">
        <v>-5115.830078</v>
      </c>
      <c r="F84" s="28"/>
      <c r="G84" s="12">
        <v>0.80999952600000003</v>
      </c>
      <c r="H84" s="12">
        <v>3461.3852539999998</v>
      </c>
      <c r="I84" s="26"/>
      <c r="J84" s="12">
        <v>0.80999952600000003</v>
      </c>
      <c r="K84" s="12">
        <v>-5115.830078</v>
      </c>
      <c r="M84" s="30">
        <f t="shared" si="12"/>
        <v>0.80999952600000003</v>
      </c>
      <c r="N84" s="30">
        <f t="shared" si="13"/>
        <v>-3529.6021903016999</v>
      </c>
      <c r="O84" s="30">
        <f t="shared" si="14"/>
        <v>-1543.9131956478634</v>
      </c>
      <c r="P84" s="30">
        <f>O84/1000+'Начальные условия и парам.'!$G$21+'Начальные условия и парам.'!$K$19*'аксел-ры 1 и 2 и интегр-ие  '!M84</f>
        <v>12.621944773044635</v>
      </c>
      <c r="Q84" s="30">
        <f t="shared" si="15"/>
        <v>0.80999952600000003</v>
      </c>
      <c r="R84" s="30">
        <f t="shared" si="16"/>
        <v>-3529.6021903016999</v>
      </c>
      <c r="S84" s="30">
        <f t="shared" si="17"/>
        <v>-1543.9131956478634</v>
      </c>
      <c r="T84" s="30">
        <f>S84/1000+'Начальные условия и парам.'!$M$21+'Начальные условия и парам.'!$K$19*'аксел-ры 1 и 2 и интегр-ие  '!Q84</f>
        <v>14.501330014616453</v>
      </c>
      <c r="V84" s="30">
        <f t="shared" si="18"/>
        <v>0.80999952600000003</v>
      </c>
      <c r="W84" s="30">
        <f t="shared" si="19"/>
        <v>7069.8345380320006</v>
      </c>
      <c r="X84" s="30">
        <f t="shared" si="20"/>
        <v>2532.1210793309406</v>
      </c>
      <c r="Y84" s="30">
        <f>X84/1000+'Начальные условия и парам.'!$G$22+'Начальные условия и парам.'!$N$19*'аксел-ры 1 и 2 и интегр-ие  '!V84</f>
        <v>0.36798391662410346</v>
      </c>
      <c r="Z84" s="30">
        <f t="shared" si="21"/>
        <v>0.80999952600000003</v>
      </c>
      <c r="AA84" s="30">
        <f t="shared" si="22"/>
        <v>7069.8345380320006</v>
      </c>
      <c r="AB84" s="30">
        <f t="shared" si="23"/>
        <v>2532.1210793309406</v>
      </c>
      <c r="AC84" s="30">
        <f>AB84/1000+'Начальные условия и парам.'!$M$22+'Начальные условия и парам.'!$N$19*'аксел-ры 1 и 2 и интегр-ие  '!Z84</f>
        <v>-0.31605637002723341</v>
      </c>
    </row>
    <row r="85" spans="1:29" x14ac:dyDescent="0.25">
      <c r="A85" s="12">
        <v>0.81999933700000005</v>
      </c>
      <c r="B85" s="12">
        <v>5543.2900390000004</v>
      </c>
      <c r="C85" s="26"/>
      <c r="D85" s="12">
        <v>0.81999933700000005</v>
      </c>
      <c r="E85" s="12">
        <v>-34471.804689999997</v>
      </c>
      <c r="F85" s="28"/>
      <c r="G85" s="12">
        <v>0.81999933700000005</v>
      </c>
      <c r="H85" s="12">
        <v>5543.2900390000004</v>
      </c>
      <c r="I85" s="26"/>
      <c r="J85" s="12">
        <v>0.81999933700000005</v>
      </c>
      <c r="K85" s="12">
        <v>-34471.804689999997</v>
      </c>
      <c r="M85" s="30">
        <f t="shared" si="12"/>
        <v>0.81999933700000005</v>
      </c>
      <c r="N85" s="30">
        <f t="shared" si="13"/>
        <v>-3484.5788138366997</v>
      </c>
      <c r="O85" s="30">
        <f t="shared" si="14"/>
        <v>-1578.9841006685554</v>
      </c>
      <c r="P85" s="30">
        <f>O85/1000+'Начальные условия и парам.'!$G$21+'Начальные условия и парам.'!$K$19*'аксел-ры 1 и 2 и интегр-ие  '!M85</f>
        <v>12.761757800412528</v>
      </c>
      <c r="Q85" s="30">
        <f t="shared" si="15"/>
        <v>0.81999933700000005</v>
      </c>
      <c r="R85" s="30">
        <f t="shared" si="16"/>
        <v>-3484.5788138366997</v>
      </c>
      <c r="S85" s="30">
        <f t="shared" si="17"/>
        <v>-1578.9841006685554</v>
      </c>
      <c r="T85" s="30">
        <f>S85/1000+'Начальные условия и парам.'!$M$21+'Начальные условия и парам.'!$K$19*'аксел-ры 1 и 2 и интегр-ие  '!Q85</f>
        <v>14.641143041984344</v>
      </c>
      <c r="V85" s="30">
        <f t="shared" si="18"/>
        <v>0.81999933700000005</v>
      </c>
      <c r="W85" s="30">
        <f t="shared" si="19"/>
        <v>6871.8963641920009</v>
      </c>
      <c r="X85" s="30">
        <f t="shared" si="20"/>
        <v>2601.8297338420607</v>
      </c>
      <c r="Y85" s="30">
        <f>X85/1000+'Начальные условия и парам.'!$G$22+'Начальные условия и парам.'!$N$19*'аксел-ры 1 и 2 и интегр-ие  '!V85</f>
        <v>0.37404002529435587</v>
      </c>
      <c r="Z85" s="30">
        <f t="shared" si="21"/>
        <v>0.81999933700000005</v>
      </c>
      <c r="AA85" s="30">
        <f t="shared" si="22"/>
        <v>6871.8963641920009</v>
      </c>
      <c r="AB85" s="30">
        <f t="shared" si="23"/>
        <v>2601.8297338420607</v>
      </c>
      <c r="AC85" s="30">
        <f>AB85/1000+'Начальные условия и парам.'!$M$22+'Начальные условия и парам.'!$N$19*'аксел-ры 1 и 2 и интегр-ие  '!Z85</f>
        <v>-0.31000026135698189</v>
      </c>
    </row>
    <row r="86" spans="1:29" x14ac:dyDescent="0.25">
      <c r="A86" s="12">
        <v>0.82999920800000004</v>
      </c>
      <c r="B86" s="12">
        <v>3377.4270019999999</v>
      </c>
      <c r="C86" s="26"/>
      <c r="D86" s="12">
        <v>0.82999920800000004</v>
      </c>
      <c r="E86" s="12">
        <v>-42498.726560000003</v>
      </c>
      <c r="F86" s="28"/>
      <c r="G86" s="12">
        <v>0.82999920800000004</v>
      </c>
      <c r="H86" s="12">
        <v>3377.4270019999999</v>
      </c>
      <c r="I86" s="26"/>
      <c r="J86" s="12">
        <v>0.82999920800000004</v>
      </c>
      <c r="K86" s="12">
        <v>-42498.726560000003</v>
      </c>
      <c r="M86" s="30">
        <f t="shared" si="12"/>
        <v>0.82999920800000004</v>
      </c>
      <c r="N86" s="30">
        <f t="shared" si="13"/>
        <v>-3439.9752286316998</v>
      </c>
      <c r="O86" s="30">
        <f t="shared" si="14"/>
        <v>-1613.6068708808973</v>
      </c>
      <c r="P86" s="30">
        <f>O86/1000+'Начальные условия и парам.'!$G$21+'Начальные условия и парам.'!$K$19*'аксел-ры 1 и 2 и интегр-ие  '!M86</f>
        <v>12.902020011912198</v>
      </c>
      <c r="Q86" s="30">
        <f t="shared" si="15"/>
        <v>0.82999920800000004</v>
      </c>
      <c r="R86" s="30">
        <f t="shared" si="16"/>
        <v>-3439.9752286316998</v>
      </c>
      <c r="S86" s="30">
        <f t="shared" si="17"/>
        <v>-1613.6068708808973</v>
      </c>
      <c r="T86" s="30">
        <f>S86/1000+'Начальные условия и парам.'!$M$21+'Начальные условия и парам.'!$K$19*'аксел-ры 1 и 2 и интегр-ие  '!Q86</f>
        <v>14.781405253484014</v>
      </c>
      <c r="V86" s="30">
        <f t="shared" si="18"/>
        <v>0.82999920800000004</v>
      </c>
      <c r="W86" s="30">
        <f t="shared" si="19"/>
        <v>6487.0437079420008</v>
      </c>
      <c r="X86" s="30">
        <f t="shared" si="20"/>
        <v>2668.6244342027308</v>
      </c>
      <c r="Y86" s="30">
        <f>X86/1000+'Начальные условия и парам.'!$G$22+'Начальные условия и парам.'!$N$19*'аксел-ры 1 и 2 и интегр-ие  '!V86</f>
        <v>0.37718179789166495</v>
      </c>
      <c r="Z86" s="30">
        <f t="shared" si="21"/>
        <v>0.82999920800000004</v>
      </c>
      <c r="AA86" s="30">
        <f t="shared" si="22"/>
        <v>6487.0437079420008</v>
      </c>
      <c r="AB86" s="30">
        <f t="shared" si="23"/>
        <v>2668.6244342027308</v>
      </c>
      <c r="AC86" s="30">
        <f>AB86/1000+'Начальные условия и парам.'!$M$22+'Начальные условия и парам.'!$N$19*'аксел-ры 1 и 2 и интегр-ие  '!Z86</f>
        <v>-0.30685848875967192</v>
      </c>
    </row>
    <row r="87" spans="1:29" x14ac:dyDescent="0.25">
      <c r="A87" s="12">
        <v>0.83999908000000001</v>
      </c>
      <c r="B87" s="12">
        <v>-3453.5117190000001</v>
      </c>
      <c r="C87" s="26"/>
      <c r="D87" s="12">
        <v>0.83999908000000001</v>
      </c>
      <c r="E87" s="12">
        <v>-25715.14258</v>
      </c>
      <c r="F87" s="28"/>
      <c r="G87" s="12">
        <v>0.83999908000000001</v>
      </c>
      <c r="H87" s="12">
        <v>-3453.5117190000001</v>
      </c>
      <c r="I87" s="26"/>
      <c r="J87" s="12">
        <v>0.83999908000000001</v>
      </c>
      <c r="K87" s="12">
        <v>-25715.14258</v>
      </c>
      <c r="M87" s="30">
        <f t="shared" si="12"/>
        <v>0.83999908000000001</v>
      </c>
      <c r="N87" s="30">
        <f t="shared" si="13"/>
        <v>-3440.3556522166996</v>
      </c>
      <c r="O87" s="30">
        <f t="shared" si="14"/>
        <v>-1648.0085252851393</v>
      </c>
      <c r="P87" s="30">
        <f>O87/1000+'Начальные условия и парам.'!$G$21+'Начальные условия и парам.'!$K$19*'аксел-ры 1 и 2 и интегр-ие  '!M87</f>
        <v>13.042503356708689</v>
      </c>
      <c r="Q87" s="30">
        <f t="shared" si="15"/>
        <v>0.83999908000000001</v>
      </c>
      <c r="R87" s="30">
        <f t="shared" si="16"/>
        <v>-3440.3556522166996</v>
      </c>
      <c r="S87" s="30">
        <f t="shared" si="17"/>
        <v>-1648.0085252851393</v>
      </c>
      <c r="T87" s="30">
        <f>S87/1000+'Начальные условия и парам.'!$M$21+'Начальные условия и парам.'!$K$19*'аксел-ры 1 и 2 и интегр-ие  '!Q87</f>
        <v>14.921888598280505</v>
      </c>
      <c r="V87" s="30">
        <f t="shared" si="18"/>
        <v>0.83999908000000001</v>
      </c>
      <c r="W87" s="30">
        <f t="shared" si="19"/>
        <v>6145.974362242001</v>
      </c>
      <c r="X87" s="30">
        <f t="shared" si="20"/>
        <v>2731.7895245536506</v>
      </c>
      <c r="Y87" s="30">
        <f>X87/1000+'Начальные условия и парам.'!$G$22+'Начальные условия и парам.'!$N$19*'аксел-ры 1 и 2 и интегр-ие  '!V87</f>
        <v>0.37669395411384965</v>
      </c>
      <c r="Z87" s="30">
        <f t="shared" si="21"/>
        <v>0.83999908000000001</v>
      </c>
      <c r="AA87" s="30">
        <f t="shared" si="22"/>
        <v>6145.974362242001</v>
      </c>
      <c r="AB87" s="30">
        <f t="shared" si="23"/>
        <v>2731.7895245536506</v>
      </c>
      <c r="AC87" s="30">
        <f>AB87/1000+'Начальные условия и парам.'!$M$22+'Начальные условия и парам.'!$N$19*'аксел-ры 1 и 2 и интегр-ие  '!Z87</f>
        <v>-0.30734633253748811</v>
      </c>
    </row>
    <row r="88" spans="1:29" x14ac:dyDescent="0.25">
      <c r="A88" s="12">
        <v>0.84999942799999995</v>
      </c>
      <c r="B88" s="12">
        <v>-8021.6879879999997</v>
      </c>
      <c r="C88" s="26"/>
      <c r="D88" s="12">
        <v>0.84999942799999995</v>
      </c>
      <c r="E88" s="12">
        <v>1030.639893</v>
      </c>
      <c r="F88" s="28"/>
      <c r="G88" s="12">
        <v>0.84999942799999995</v>
      </c>
      <c r="H88" s="12">
        <v>-8021.6879879999997</v>
      </c>
      <c r="I88" s="26"/>
      <c r="J88" s="12">
        <v>0.84999942799999995</v>
      </c>
      <c r="K88" s="12">
        <v>1030.639893</v>
      </c>
      <c r="M88" s="30">
        <f t="shared" si="12"/>
        <v>0.84999942799999995</v>
      </c>
      <c r="N88" s="30">
        <f t="shared" si="13"/>
        <v>-3497.7316507516994</v>
      </c>
      <c r="O88" s="30">
        <f t="shared" si="14"/>
        <v>-1682.6989617999814</v>
      </c>
      <c r="P88" s="30">
        <f>O88/1000+'Начальные условия и парам.'!$G$21+'Начальные условия и парам.'!$K$19*'аксел-ры 1 и 2 и интегр-ие  '!M88</f>
        <v>13.182706244027095</v>
      </c>
      <c r="Q88" s="30">
        <f t="shared" si="15"/>
        <v>0.84999942799999995</v>
      </c>
      <c r="R88" s="30">
        <f t="shared" si="16"/>
        <v>-3497.7316507516994</v>
      </c>
      <c r="S88" s="30">
        <f t="shared" si="17"/>
        <v>-1682.6989617999814</v>
      </c>
      <c r="T88" s="30">
        <f>S88/1000+'Начальные условия и парам.'!$M$21+'Начальные условия и парам.'!$K$19*'аксел-ры 1 и 2 и интегр-ие  '!Q88</f>
        <v>15.062091485598913</v>
      </c>
      <c r="V88" s="30">
        <f t="shared" si="18"/>
        <v>0.84999942799999995</v>
      </c>
      <c r="W88" s="30">
        <f t="shared" si="19"/>
        <v>6022.5518488070011</v>
      </c>
      <c r="X88" s="30">
        <f t="shared" si="20"/>
        <v>2792.6321556088956</v>
      </c>
      <c r="Y88" s="30">
        <f>X88/1000+'Начальные условия и парам.'!$G$22+'Начальные условия и парам.'!$N$19*'аксел-ры 1 и 2 и интегр-ие  '!V88</f>
        <v>0.37388062112191189</v>
      </c>
      <c r="Z88" s="30">
        <f t="shared" si="21"/>
        <v>0.84999942799999995</v>
      </c>
      <c r="AA88" s="30">
        <f t="shared" si="22"/>
        <v>6022.5518488070011</v>
      </c>
      <c r="AB88" s="30">
        <f t="shared" si="23"/>
        <v>2792.6321556088956</v>
      </c>
      <c r="AC88" s="30">
        <f>AB88/1000+'Начальные условия и парам.'!$M$22+'Начальные условия и парам.'!$N$19*'аксел-ры 1 и 2 и интегр-ие  '!Z88</f>
        <v>-0.31015966552942587</v>
      </c>
    </row>
    <row r="89" spans="1:29" x14ac:dyDescent="0.25">
      <c r="A89" s="12">
        <v>0.85999929900000005</v>
      </c>
      <c r="B89" s="12">
        <v>-6723.9760740000002</v>
      </c>
      <c r="C89" s="26"/>
      <c r="D89" s="12">
        <v>0.85999929900000005</v>
      </c>
      <c r="E89" s="12">
        <v>22642.832030000001</v>
      </c>
      <c r="F89" s="28"/>
      <c r="G89" s="12">
        <v>0.85999929900000005</v>
      </c>
      <c r="H89" s="12">
        <v>-6723.9760740000002</v>
      </c>
      <c r="I89" s="26"/>
      <c r="J89" s="12">
        <v>0.85999929900000005</v>
      </c>
      <c r="K89" s="12">
        <v>22642.832030000001</v>
      </c>
      <c r="M89" s="30">
        <f t="shared" si="12"/>
        <v>0.85999929900000005</v>
      </c>
      <c r="N89" s="30">
        <f t="shared" si="13"/>
        <v>-3571.4599710616994</v>
      </c>
      <c r="O89" s="30">
        <f t="shared" si="14"/>
        <v>-1718.0449199090483</v>
      </c>
      <c r="P89" s="30">
        <f>O89/1000+'Начальные условия и парам.'!$G$21+'Начальные условия и парам.'!$K$19*'аксел-ры 1 и 2 и интегр-ие  '!M89</f>
        <v>13.322245267630041</v>
      </c>
      <c r="Q89" s="30">
        <f t="shared" si="15"/>
        <v>0.85999929900000005</v>
      </c>
      <c r="R89" s="30">
        <f t="shared" si="16"/>
        <v>-3571.4599710616994</v>
      </c>
      <c r="S89" s="30">
        <f t="shared" si="17"/>
        <v>-1718.0449199090483</v>
      </c>
      <c r="T89" s="30">
        <f>S89/1000+'Начальные условия и парам.'!$M$21+'Начальные условия и парам.'!$K$19*'аксел-ры 1 и 2 и интегр-ие  '!Q89</f>
        <v>15.201630509201859</v>
      </c>
      <c r="V89" s="30">
        <f t="shared" si="18"/>
        <v>0.85999929900000005</v>
      </c>
      <c r="W89" s="30">
        <f t="shared" si="19"/>
        <v>6140.9192084220012</v>
      </c>
      <c r="X89" s="30">
        <f t="shared" si="20"/>
        <v>2853.4495108950405</v>
      </c>
      <c r="Y89" s="30">
        <f>X89/1000+'Начальные условия и парам.'!$G$22+'Начальные условия и парам.'!$N$19*'аксел-ры 1 и 2 и интегр-ие  '!V89</f>
        <v>0.37104504864469412</v>
      </c>
      <c r="Z89" s="30">
        <f t="shared" si="21"/>
        <v>0.85999929900000005</v>
      </c>
      <c r="AA89" s="30">
        <f t="shared" si="22"/>
        <v>6140.9192084220012</v>
      </c>
      <c r="AB89" s="30">
        <f t="shared" si="23"/>
        <v>2853.4495108950405</v>
      </c>
      <c r="AC89" s="30">
        <f>AB89/1000+'Начальные условия и парам.'!$M$22+'Начальные условия и парам.'!$N$19*'аксел-ры 1 и 2 и интегр-ие  '!Z89</f>
        <v>-0.31299523800664275</v>
      </c>
    </row>
    <row r="90" spans="1:29" x14ac:dyDescent="0.25">
      <c r="A90" s="12">
        <v>0.86999917000000004</v>
      </c>
      <c r="B90" s="12">
        <v>-4612.0834960000002</v>
      </c>
      <c r="C90" s="26"/>
      <c r="D90" s="12">
        <v>0.86999917000000004</v>
      </c>
      <c r="E90" s="12">
        <v>37701.523439999997</v>
      </c>
      <c r="F90" s="28"/>
      <c r="G90" s="12">
        <v>0.86999917000000004</v>
      </c>
      <c r="H90" s="12">
        <v>-4612.0834960000002</v>
      </c>
      <c r="I90" s="26"/>
      <c r="J90" s="12">
        <v>0.86999917000000004</v>
      </c>
      <c r="K90" s="12">
        <v>37701.523439999997</v>
      </c>
      <c r="M90" s="30">
        <f t="shared" si="12"/>
        <v>0.86999917000000004</v>
      </c>
      <c r="N90" s="30">
        <f t="shared" si="13"/>
        <v>-3628.1402689116994</v>
      </c>
      <c r="O90" s="30">
        <f t="shared" si="14"/>
        <v>-1754.0429211089154</v>
      </c>
      <c r="P90" s="30">
        <f>O90/1000+'Начальные условия и парам.'!$G$21+'Начальные условия и парам.'!$K$19*'аксел-ры 1 и 2 и интегр-ие  '!M90</f>
        <v>13.461132248142185</v>
      </c>
      <c r="Q90" s="30">
        <f t="shared" si="15"/>
        <v>0.86999917000000004</v>
      </c>
      <c r="R90" s="30">
        <f t="shared" si="16"/>
        <v>-3628.1402689116994</v>
      </c>
      <c r="S90" s="30">
        <f t="shared" si="17"/>
        <v>-1754.0429211089154</v>
      </c>
      <c r="T90" s="30">
        <f>S90/1000+'Начальные условия и парам.'!$M$21+'Начальные условия и парам.'!$K$19*'аксел-ры 1 и 2 и интегр-ие  '!Q90</f>
        <v>15.340517489714003</v>
      </c>
      <c r="V90" s="30">
        <f t="shared" si="18"/>
        <v>0.86999917000000004</v>
      </c>
      <c r="W90" s="30">
        <f t="shared" si="19"/>
        <v>6442.6409857720009</v>
      </c>
      <c r="X90" s="30">
        <f t="shared" si="20"/>
        <v>2916.3673118660104</v>
      </c>
      <c r="Y90" s="30">
        <f>X90/1000+'Начальные условия и парам.'!$G$22+'Начальные условия и парам.'!$N$19*'аксел-ры 1 и 2 и интегр-ие  '!V90</f>
        <v>0.3703099218523036</v>
      </c>
      <c r="Z90" s="30">
        <f t="shared" si="21"/>
        <v>0.86999917000000004</v>
      </c>
      <c r="AA90" s="30">
        <f t="shared" si="22"/>
        <v>6442.6409857720009</v>
      </c>
      <c r="AB90" s="30">
        <f t="shared" si="23"/>
        <v>2916.3673118660104</v>
      </c>
      <c r="AC90" s="30">
        <f>AB90/1000+'Начальные условия и парам.'!$M$22+'Начальные условия и парам.'!$N$19*'аксел-ры 1 и 2 и интегр-ие  '!Z90</f>
        <v>-0.31373036479903327</v>
      </c>
    </row>
    <row r="91" spans="1:29" x14ac:dyDescent="0.25">
      <c r="A91" s="12">
        <v>0.87999904200000001</v>
      </c>
      <c r="B91" s="12">
        <v>-5555.6420900000003</v>
      </c>
      <c r="C91" s="26"/>
      <c r="D91" s="12">
        <v>0.87999904200000001</v>
      </c>
      <c r="E91" s="12">
        <v>44151.363279999998</v>
      </c>
      <c r="F91" s="28"/>
      <c r="G91" s="12">
        <v>0.87999904200000001</v>
      </c>
      <c r="H91" s="12">
        <v>-5555.6420900000003</v>
      </c>
      <c r="I91" s="26"/>
      <c r="J91" s="12">
        <v>0.87999904200000001</v>
      </c>
      <c r="K91" s="12">
        <v>44151.363279999998</v>
      </c>
      <c r="M91" s="30">
        <f t="shared" si="12"/>
        <v>0.87999904200000001</v>
      </c>
      <c r="N91" s="30">
        <f t="shared" si="13"/>
        <v>-3678.9788968416992</v>
      </c>
      <c r="O91" s="30">
        <f t="shared" si="14"/>
        <v>-1790.5785169376825</v>
      </c>
      <c r="P91" s="30">
        <f>O91/1000+'Начальные условия и парам.'!$G$21+'Начальные условия и парам.'!$K$19*'аксел-ры 1 и 2 и интегр-ие  '!M91</f>
        <v>13.599481651514152</v>
      </c>
      <c r="Q91" s="30">
        <f t="shared" si="15"/>
        <v>0.87999904200000001</v>
      </c>
      <c r="R91" s="30">
        <f t="shared" si="16"/>
        <v>-3678.9788968416992</v>
      </c>
      <c r="S91" s="30">
        <f t="shared" si="17"/>
        <v>-1790.5785169376825</v>
      </c>
      <c r="T91" s="30">
        <f>S91/1000+'Начальные условия и парам.'!$M$21+'Начальные условия и парам.'!$K$19*'аксел-ры 1 и 2 и интегр-ие  '!Q91</f>
        <v>15.478866893085968</v>
      </c>
      <c r="V91" s="30">
        <f t="shared" si="18"/>
        <v>0.87999904200000001</v>
      </c>
      <c r="W91" s="30">
        <f t="shared" si="19"/>
        <v>6851.9054193720012</v>
      </c>
      <c r="X91" s="30">
        <f t="shared" si="20"/>
        <v>2982.8400438917306</v>
      </c>
      <c r="Y91" s="30">
        <f>X91/1000+'Начальные условия и парам.'!$G$22+'Начальные условия и парам.'!$N$19*'аксел-ры 1 и 2 и интегр-ие  '!V91</f>
        <v>0.3731297197492891</v>
      </c>
      <c r="Z91" s="30">
        <f t="shared" si="21"/>
        <v>0.87999904200000001</v>
      </c>
      <c r="AA91" s="30">
        <f t="shared" si="22"/>
        <v>6851.9054193720012</v>
      </c>
      <c r="AB91" s="30">
        <f t="shared" si="23"/>
        <v>2982.8400438917306</v>
      </c>
      <c r="AC91" s="30">
        <f>AB91/1000+'Начальные условия и парам.'!$M$22+'Начальные условия и парам.'!$N$19*'аксел-ры 1 и 2 и интегр-ие  '!Z91</f>
        <v>-0.31091056690204866</v>
      </c>
    </row>
    <row r="92" spans="1:29" x14ac:dyDescent="0.25">
      <c r="A92" s="12">
        <v>0.88999938999999995</v>
      </c>
      <c r="B92" s="12">
        <v>-8460.703125</v>
      </c>
      <c r="C92" s="26"/>
      <c r="D92" s="12">
        <v>0.88999938999999995</v>
      </c>
      <c r="E92" s="12">
        <v>31546.78125</v>
      </c>
      <c r="F92" s="28"/>
      <c r="G92" s="12">
        <v>0.88999938999999995</v>
      </c>
      <c r="H92" s="12">
        <v>-8460.703125</v>
      </c>
      <c r="I92" s="26"/>
      <c r="J92" s="12">
        <v>0.88999938999999995</v>
      </c>
      <c r="K92" s="12">
        <v>31546.78125</v>
      </c>
      <c r="M92" s="30">
        <f t="shared" si="12"/>
        <v>0.88999938999999995</v>
      </c>
      <c r="N92" s="30">
        <f t="shared" si="13"/>
        <v>-3749.0606229166992</v>
      </c>
      <c r="O92" s="30">
        <f t="shared" si="14"/>
        <v>-1827.7187145364744</v>
      </c>
      <c r="P92" s="30">
        <f>O92/1000+'Начальные условия и парам.'!$G$21+'Начальные условия и парам.'!$K$19*'аксел-ры 1 и 2 и интегр-ие  '!M92</f>
        <v>13.737234777748608</v>
      </c>
      <c r="Q92" s="30">
        <f t="shared" si="15"/>
        <v>0.88999938999999995</v>
      </c>
      <c r="R92" s="30">
        <f t="shared" si="16"/>
        <v>-3749.0606229166992</v>
      </c>
      <c r="S92" s="30">
        <f t="shared" si="17"/>
        <v>-1827.7187145364744</v>
      </c>
      <c r="T92" s="30">
        <f>S92/1000+'Начальные условия и парам.'!$M$21+'Начальные условия и парам.'!$K$19*'аксел-ры 1 и 2 и интегр-ие  '!Q92</f>
        <v>15.616620019320425</v>
      </c>
      <c r="V92" s="30">
        <f t="shared" si="18"/>
        <v>0.88999938999999995</v>
      </c>
      <c r="W92" s="30">
        <f t="shared" si="19"/>
        <v>7230.3961420220012</v>
      </c>
      <c r="X92" s="30">
        <f t="shared" si="20"/>
        <v>3053.2515516987005</v>
      </c>
      <c r="Y92" s="30">
        <f>X92/1000+'Начальные условия и парам.'!$G$22+'Начальные условия и парам.'!$N$19*'аксел-ры 1 и 2 и интегр-ие  '!V92</f>
        <v>0.3798852635090757</v>
      </c>
      <c r="Z92" s="30">
        <f t="shared" si="21"/>
        <v>0.88999938999999995</v>
      </c>
      <c r="AA92" s="30">
        <f t="shared" si="22"/>
        <v>7230.3961420220012</v>
      </c>
      <c r="AB92" s="30">
        <f t="shared" si="23"/>
        <v>3053.2515516987005</v>
      </c>
      <c r="AC92" s="30">
        <f>AB92/1000+'Начальные условия и парам.'!$M$22+'Начальные условия и парам.'!$N$19*'аксел-ры 1 и 2 и интегр-ие  '!Z92</f>
        <v>-0.30415502314226206</v>
      </c>
    </row>
    <row r="93" spans="1:29" x14ac:dyDescent="0.25">
      <c r="A93" s="12">
        <v>0.89999926100000005</v>
      </c>
      <c r="B93" s="12">
        <v>-9308.0917969999991</v>
      </c>
      <c r="C93" s="26"/>
      <c r="D93" s="12">
        <v>0.89999926100000005</v>
      </c>
      <c r="E93" s="12">
        <v>2857.6865229999999</v>
      </c>
      <c r="F93" s="28"/>
      <c r="G93" s="12">
        <v>0.89999926100000005</v>
      </c>
      <c r="H93" s="12">
        <v>-9308.0917969999991</v>
      </c>
      <c r="I93" s="26"/>
      <c r="J93" s="12">
        <v>0.89999926100000005</v>
      </c>
      <c r="K93" s="12">
        <v>2857.6865229999999</v>
      </c>
      <c r="M93" s="30">
        <f t="shared" si="12"/>
        <v>0.89999926100000005</v>
      </c>
      <c r="N93" s="30">
        <f t="shared" si="13"/>
        <v>-3837.904597526699</v>
      </c>
      <c r="O93" s="30">
        <f t="shared" si="14"/>
        <v>-1865.6535406386913</v>
      </c>
      <c r="P93" s="30">
        <f>O93/1000+'Начальные условия и парам.'!$G$21+'Начальные условия и парам.'!$K$19*'аксел-ры 1 и 2 и интегр-ие  '!M93</f>
        <v>13.874184933358405</v>
      </c>
      <c r="Q93" s="30">
        <f t="shared" si="15"/>
        <v>0.89999926100000005</v>
      </c>
      <c r="R93" s="30">
        <f t="shared" si="16"/>
        <v>-3837.904597526699</v>
      </c>
      <c r="S93" s="30">
        <f t="shared" si="17"/>
        <v>-1865.6535406386913</v>
      </c>
      <c r="T93" s="30">
        <f>S93/1000+'Начальные условия и парам.'!$M$21+'Начальные условия и парам.'!$K$19*'аксел-ры 1 и 2 и интегр-ие  '!Q93</f>
        <v>15.753570174930221</v>
      </c>
      <c r="V93" s="30">
        <f t="shared" si="18"/>
        <v>0.89999926100000005</v>
      </c>
      <c r="W93" s="30">
        <f t="shared" si="19"/>
        <v>7402.4184808870014</v>
      </c>
      <c r="X93" s="30">
        <f t="shared" si="20"/>
        <v>3126.4156248132454</v>
      </c>
      <c r="Y93" s="30">
        <f>X93/1000+'Начальные условия и парам.'!$G$22+'Начальные условия и парам.'!$N$19*'аксел-ры 1 и 2 и интегр-ие  '!V93</f>
        <v>0.38939640886025817</v>
      </c>
      <c r="Z93" s="30">
        <f t="shared" si="21"/>
        <v>0.89999926100000005</v>
      </c>
      <c r="AA93" s="30">
        <f t="shared" si="22"/>
        <v>7402.4184808870014</v>
      </c>
      <c r="AB93" s="30">
        <f t="shared" si="23"/>
        <v>3126.4156248132454</v>
      </c>
      <c r="AC93" s="30">
        <f>AB93/1000+'Начальные условия и парам.'!$M$22+'Начальные условия и парам.'!$N$19*'аксел-ры 1 и 2 и интегр-ие  '!Z93</f>
        <v>-0.2946438777910787</v>
      </c>
    </row>
    <row r="94" spans="1:29" x14ac:dyDescent="0.25">
      <c r="A94" s="12">
        <v>0.90999913200000004</v>
      </c>
      <c r="B94" s="12">
        <v>-5043.1601559999999</v>
      </c>
      <c r="C94" s="26"/>
      <c r="D94" s="12">
        <v>0.90999913200000004</v>
      </c>
      <c r="E94" s="12">
        <v>-18342.08008</v>
      </c>
      <c r="F94" s="28"/>
      <c r="G94" s="12">
        <v>0.90999913200000004</v>
      </c>
      <c r="H94" s="12">
        <v>-5043.1601559999999</v>
      </c>
      <c r="I94" s="26"/>
      <c r="J94" s="12">
        <v>0.90999913200000004</v>
      </c>
      <c r="K94" s="12">
        <v>-18342.08008</v>
      </c>
      <c r="M94" s="30">
        <f t="shared" si="12"/>
        <v>0.90999913200000004</v>
      </c>
      <c r="N94" s="30">
        <f t="shared" si="13"/>
        <v>-3909.6608572916989</v>
      </c>
      <c r="O94" s="30">
        <f t="shared" si="14"/>
        <v>-1904.3913679127834</v>
      </c>
      <c r="P94" s="30">
        <f>O94/1000+'Начальные условия и парам.'!$G$21+'Начальные условия и парам.'!$K$19*'аксел-ры 1 и 2 и интегр-ие  '!M94</f>
        <v>14.010332087796323</v>
      </c>
      <c r="Q94" s="30">
        <f t="shared" si="15"/>
        <v>0.90999913200000004</v>
      </c>
      <c r="R94" s="30">
        <f t="shared" si="16"/>
        <v>-3909.6608572916989</v>
      </c>
      <c r="S94" s="30">
        <f t="shared" si="17"/>
        <v>-1904.3913679127834</v>
      </c>
      <c r="T94" s="30">
        <f>S94/1000+'Начальные условия и парам.'!$M$21+'Начальные условия и парам.'!$K$19*'аксел-ры 1 и 2 и интегр-ие  '!Q94</f>
        <v>15.889717329368139</v>
      </c>
      <c r="V94" s="30">
        <f t="shared" si="18"/>
        <v>0.90999913200000004</v>
      </c>
      <c r="W94" s="30">
        <f t="shared" si="19"/>
        <v>7324.9965131020017</v>
      </c>
      <c r="X94" s="30">
        <f t="shared" si="20"/>
        <v>3200.0526997831903</v>
      </c>
      <c r="Y94" s="30">
        <f>X94/1000+'Начальные условия и парам.'!$G$22+'Начальные условия и парам.'!$N$19*'аксел-ры 1 и 2 и интегр-ие  '!V94</f>
        <v>0.39938055606684308</v>
      </c>
      <c r="Z94" s="30">
        <f t="shared" si="21"/>
        <v>0.90999913200000004</v>
      </c>
      <c r="AA94" s="30">
        <f t="shared" si="22"/>
        <v>7324.9965131020017</v>
      </c>
      <c r="AB94" s="30">
        <f t="shared" si="23"/>
        <v>3200.0526997831903</v>
      </c>
      <c r="AC94" s="30">
        <f>AB94/1000+'Начальные условия и парам.'!$M$22+'Начальные условия и парам.'!$N$19*'аксел-ры 1 и 2 и интегр-ие  '!Z94</f>
        <v>-0.28465973058449467</v>
      </c>
    </row>
    <row r="95" spans="1:29" x14ac:dyDescent="0.25">
      <c r="A95" s="12">
        <v>0.91999900300000004</v>
      </c>
      <c r="B95" s="12">
        <v>1702.990356</v>
      </c>
      <c r="C95" s="26"/>
      <c r="D95" s="12">
        <v>0.91999900300000004</v>
      </c>
      <c r="E95" s="12">
        <v>-18449.390630000002</v>
      </c>
      <c r="F95" s="28"/>
      <c r="G95" s="12">
        <v>0.91999900300000004</v>
      </c>
      <c r="H95" s="12">
        <v>1702.990356</v>
      </c>
      <c r="I95" s="26"/>
      <c r="J95" s="12">
        <v>0.91999900300000004</v>
      </c>
      <c r="K95" s="12">
        <v>-18449.390630000002</v>
      </c>
      <c r="M95" s="30">
        <f t="shared" si="12"/>
        <v>0.91999900300000004</v>
      </c>
      <c r="N95" s="30">
        <f t="shared" si="13"/>
        <v>-3926.3617062916987</v>
      </c>
      <c r="O95" s="30">
        <f t="shared" si="14"/>
        <v>-1943.5714807307004</v>
      </c>
      <c r="P95" s="30">
        <f>O95/1000+'Начальные условия и парам.'!$G$21+'Начальные условия и парам.'!$K$19*'аксел-ры 1 и 2 и интегр-ие  '!M95</f>
        <v>14.146036956690416</v>
      </c>
      <c r="Q95" s="30">
        <f t="shared" si="15"/>
        <v>0.91999900300000004</v>
      </c>
      <c r="R95" s="30">
        <f t="shared" si="16"/>
        <v>-3926.3617062916987</v>
      </c>
      <c r="S95" s="30">
        <f t="shared" si="17"/>
        <v>-1943.5714807307004</v>
      </c>
      <c r="T95" s="30">
        <f>S95/1000+'Начальные условия и парам.'!$M$21+'Начальные условия и парам.'!$K$19*'аксел-ры 1 и 2 и интегр-ие  '!Q95</f>
        <v>16.025422198262234</v>
      </c>
      <c r="V95" s="30">
        <f t="shared" si="18"/>
        <v>0.91999900300000004</v>
      </c>
      <c r="W95" s="30">
        <f t="shared" si="19"/>
        <v>7141.0391595520014</v>
      </c>
      <c r="X95" s="30">
        <f t="shared" si="20"/>
        <v>3272.3828781464604</v>
      </c>
      <c r="Y95" s="30">
        <f>X95/1000+'Начальные условия и парам.'!$G$22+'Начальные условия и парам.'!$N$19*'аксел-ры 1 и 2 и интегр-ие  '!V95</f>
        <v>0.4080578066667524</v>
      </c>
      <c r="Z95" s="30">
        <f t="shared" si="21"/>
        <v>0.91999900300000004</v>
      </c>
      <c r="AA95" s="30">
        <f t="shared" si="22"/>
        <v>7141.0391595520014</v>
      </c>
      <c r="AB95" s="30">
        <f t="shared" si="23"/>
        <v>3272.3828781464604</v>
      </c>
      <c r="AC95" s="30">
        <f>AB95/1000+'Начальные условия и парам.'!$M$22+'Начальные условия и парам.'!$N$19*'аксел-ры 1 и 2 и интегр-ие  '!Z95</f>
        <v>-0.27598247998458536</v>
      </c>
    </row>
    <row r="96" spans="1:29" x14ac:dyDescent="0.25">
      <c r="A96" s="12">
        <v>0.92999935199999995</v>
      </c>
      <c r="B96" s="12">
        <v>5183.1152339999999</v>
      </c>
      <c r="C96" s="26"/>
      <c r="D96" s="12">
        <v>0.92999935199999995</v>
      </c>
      <c r="E96" s="12">
        <v>-9187.5146480000003</v>
      </c>
      <c r="F96" s="28"/>
      <c r="G96" s="12">
        <v>0.92999935199999995</v>
      </c>
      <c r="H96" s="12">
        <v>5183.1152339999999</v>
      </c>
      <c r="I96" s="26"/>
      <c r="J96" s="12">
        <v>0.92999935199999995</v>
      </c>
      <c r="K96" s="12">
        <v>-9187.5146480000003</v>
      </c>
      <c r="M96" s="30">
        <f t="shared" si="12"/>
        <v>0.92999935199999995</v>
      </c>
      <c r="N96" s="30">
        <f t="shared" si="13"/>
        <v>-3891.9311783416988</v>
      </c>
      <c r="O96" s="30">
        <f t="shared" si="14"/>
        <v>-1982.6629451538674</v>
      </c>
      <c r="P96" s="30">
        <f>O96/1000+'Начальные условия и парам.'!$G$21+'Начальные условия и парам.'!$K$19*'аксел-ры 1 и 2 и интегр-ие  '!M96</f>
        <v>14.281838833589221</v>
      </c>
      <c r="Q96" s="30">
        <f t="shared" si="15"/>
        <v>0.92999935199999995</v>
      </c>
      <c r="R96" s="30">
        <f t="shared" si="16"/>
        <v>-3891.9311783416988</v>
      </c>
      <c r="S96" s="30">
        <f t="shared" si="17"/>
        <v>-1982.6629451538674</v>
      </c>
      <c r="T96" s="30">
        <f>S96/1000+'Начальные условия и парам.'!$M$21+'Начальные условия и парам.'!$K$19*'аксел-ры 1 и 2 и интегр-ие  '!Q96</f>
        <v>16.161224075161037</v>
      </c>
      <c r="V96" s="30">
        <f t="shared" si="18"/>
        <v>0.92999935199999995</v>
      </c>
      <c r="W96" s="30">
        <f t="shared" si="19"/>
        <v>7002.8546331620009</v>
      </c>
      <c r="X96" s="30">
        <f t="shared" si="20"/>
        <v>3343.1023471100302</v>
      </c>
      <c r="Y96" s="30">
        <f>X96/1000+'Начальные условия и парам.'!$G$22+'Начальные условия и парам.'!$N$19*'аксел-ры 1 и 2 и интегр-ие  '!V96</f>
        <v>0.41512130521776403</v>
      </c>
      <c r="Z96" s="30">
        <f t="shared" si="21"/>
        <v>0.92999935199999995</v>
      </c>
      <c r="AA96" s="30">
        <f t="shared" si="22"/>
        <v>7002.8546331620009</v>
      </c>
      <c r="AB96" s="30">
        <f t="shared" si="23"/>
        <v>3343.1023471100302</v>
      </c>
      <c r="AC96" s="30">
        <f>AB96/1000+'Начальные условия и парам.'!$M$22+'Начальные условия и парам.'!$N$19*'аксел-ры 1 и 2 и интегр-ие  '!Z96</f>
        <v>-0.26891898143357285</v>
      </c>
    </row>
    <row r="97" spans="1:29" x14ac:dyDescent="0.25">
      <c r="A97" s="12">
        <v>0.93999922300000005</v>
      </c>
      <c r="B97" s="12">
        <v>3041.3366700000001</v>
      </c>
      <c r="C97" s="26"/>
      <c r="D97" s="12">
        <v>0.93999922300000005</v>
      </c>
      <c r="E97" s="12">
        <v>-3815.423096</v>
      </c>
      <c r="F97" s="28"/>
      <c r="G97" s="12">
        <v>0.93999922300000005</v>
      </c>
      <c r="H97" s="12">
        <v>3041.3366700000001</v>
      </c>
      <c r="I97" s="26"/>
      <c r="J97" s="12">
        <v>0.93999922300000005</v>
      </c>
      <c r="K97" s="12">
        <v>-3815.423096</v>
      </c>
      <c r="M97" s="30">
        <f t="shared" si="12"/>
        <v>0.93999922300000005</v>
      </c>
      <c r="N97" s="30">
        <f t="shared" si="13"/>
        <v>-3850.8089188216986</v>
      </c>
      <c r="O97" s="30">
        <f t="shared" si="14"/>
        <v>-2021.3766456396845</v>
      </c>
      <c r="P97" s="30">
        <f>O97/1000+'Начальные условия и парам.'!$G$21+'Начальные условия и парам.'!$K$19*'аксел-ры 1 и 2 и интегр-ие  '!M97</f>
        <v>14.418010114815417</v>
      </c>
      <c r="Q97" s="30">
        <f t="shared" si="15"/>
        <v>0.93999922300000005</v>
      </c>
      <c r="R97" s="30">
        <f t="shared" si="16"/>
        <v>-3850.8089188216986</v>
      </c>
      <c r="S97" s="30">
        <f t="shared" si="17"/>
        <v>-2021.3766456396845</v>
      </c>
      <c r="T97" s="30">
        <f>S97/1000+'Начальные условия и парам.'!$M$21+'Начальные условия и парам.'!$K$19*'аксел-ры 1 и 2 и интегр-ие  '!Q97</f>
        <v>16.297395356387234</v>
      </c>
      <c r="V97" s="30">
        <f t="shared" si="18"/>
        <v>0.93999922300000005</v>
      </c>
      <c r="W97" s="30">
        <f t="shared" si="19"/>
        <v>6937.8399444420011</v>
      </c>
      <c r="X97" s="30">
        <f t="shared" si="20"/>
        <v>3412.8058199980501</v>
      </c>
      <c r="Y97" s="30">
        <f>X97/1000+'Начальные условия и парам.'!$G$22+'Начальные условия и парам.'!$N$19*'аксел-ры 1 и 2 и интегр-ие  '!V97</f>
        <v>0.42117185034242244</v>
      </c>
      <c r="Z97" s="30">
        <f t="shared" si="21"/>
        <v>0.93999922300000005</v>
      </c>
      <c r="AA97" s="30">
        <f t="shared" si="22"/>
        <v>6937.8399444420011</v>
      </c>
      <c r="AB97" s="30">
        <f t="shared" si="23"/>
        <v>3412.8058199980501</v>
      </c>
      <c r="AC97" s="30">
        <f>AB97/1000+'Начальные условия и парам.'!$M$22+'Начальные условия и парам.'!$N$19*'аксел-ры 1 и 2 и интегр-ие  '!Z97</f>
        <v>-0.26286843630891532</v>
      </c>
    </row>
    <row r="98" spans="1:29" x14ac:dyDescent="0.25">
      <c r="A98" s="12">
        <v>0.94999909400000004</v>
      </c>
      <c r="B98" s="12">
        <v>-1937.927124</v>
      </c>
      <c r="C98" s="26"/>
      <c r="D98" s="12">
        <v>0.94999909400000004</v>
      </c>
      <c r="E98" s="12">
        <v>235.64309689999999</v>
      </c>
      <c r="F98" s="28"/>
      <c r="G98" s="12">
        <v>0.94999909400000004</v>
      </c>
      <c r="H98" s="12">
        <v>-1937.927124</v>
      </c>
      <c r="I98" s="26"/>
      <c r="J98" s="12">
        <v>0.94999909400000004</v>
      </c>
      <c r="K98" s="12">
        <v>235.64309689999999</v>
      </c>
      <c r="M98" s="30">
        <f t="shared" si="12"/>
        <v>0.94999909400000004</v>
      </c>
      <c r="N98" s="30">
        <f t="shared" si="13"/>
        <v>-3845.2918710916988</v>
      </c>
      <c r="O98" s="30">
        <f t="shared" si="14"/>
        <v>-2059.8571495892515</v>
      </c>
      <c r="P98" s="30">
        <f>O98/1000+'Начальные условия и парам.'!$G$21+'Начальные условия и парам.'!$K$19*'аксел-ры 1 и 2 и интегр-ие  '!M98</f>
        <v>14.55441459257786</v>
      </c>
      <c r="Q98" s="30">
        <f t="shared" si="15"/>
        <v>0.94999909400000004</v>
      </c>
      <c r="R98" s="30">
        <f t="shared" si="16"/>
        <v>-3845.2918710916988</v>
      </c>
      <c r="S98" s="30">
        <f t="shared" si="17"/>
        <v>-2059.8571495892515</v>
      </c>
      <c r="T98" s="30">
        <f>S98/1000+'Начальные условия и парам.'!$M$21+'Начальные условия и парам.'!$K$19*'аксел-ры 1 и 2 и интегр-ие  '!Q98</f>
        <v>16.433799834149678</v>
      </c>
      <c r="V98" s="30">
        <f t="shared" si="18"/>
        <v>0.94999909400000004</v>
      </c>
      <c r="W98" s="30">
        <f t="shared" si="19"/>
        <v>6919.9410444465011</v>
      </c>
      <c r="X98" s="30">
        <f t="shared" si="20"/>
        <v>3482.0947249424926</v>
      </c>
      <c r="Y98" s="30">
        <f>X98/1000+'Начальные условия и парам.'!$G$22+'Начальные условия и парам.'!$N$19*'аксел-ры 1 и 2 и интегр-ие  '!V98</f>
        <v>0.4268078275235041</v>
      </c>
      <c r="Z98" s="30">
        <f t="shared" si="21"/>
        <v>0.94999909400000004</v>
      </c>
      <c r="AA98" s="30">
        <f t="shared" si="22"/>
        <v>6919.9410444465011</v>
      </c>
      <c r="AB98" s="30">
        <f t="shared" si="23"/>
        <v>3482.0947249424926</v>
      </c>
      <c r="AC98" s="30">
        <f>AB98/1000+'Начальные условия и парам.'!$M$22+'Начальные условия и парам.'!$N$19*'аксел-ры 1 и 2 и интегр-ие  '!Z98</f>
        <v>-0.25723245912783277</v>
      </c>
    </row>
    <row r="99" spans="1:29" x14ac:dyDescent="0.25">
      <c r="A99" s="12">
        <v>0.95999896500000004</v>
      </c>
      <c r="B99" s="12">
        <v>-6064.7822269999997</v>
      </c>
      <c r="C99" s="26"/>
      <c r="D99" s="12">
        <v>0.95999896500000004</v>
      </c>
      <c r="E99" s="12">
        <v>9225.9208980000003</v>
      </c>
      <c r="F99" s="28"/>
      <c r="G99" s="12">
        <v>0.95999896500000004</v>
      </c>
      <c r="H99" s="12">
        <v>-6064.7822269999997</v>
      </c>
      <c r="I99" s="26"/>
      <c r="J99" s="12">
        <v>0.95999896500000004</v>
      </c>
      <c r="K99" s="12">
        <v>9225.9208980000003</v>
      </c>
      <c r="M99" s="30">
        <f t="shared" si="12"/>
        <v>0.95999896500000004</v>
      </c>
      <c r="N99" s="30">
        <f t="shared" si="13"/>
        <v>-3885.3054178466987</v>
      </c>
      <c r="O99" s="30">
        <f t="shared" si="14"/>
        <v>-2098.5101360339436</v>
      </c>
      <c r="P99" s="30">
        <f>O99/1000+'Начальные условия и парам.'!$G$21+'Начальные условия и парам.'!$K$19*'аксел-ры 1 и 2 и интегр-ие  '!M99</f>
        <v>14.69064658784518</v>
      </c>
      <c r="Q99" s="30">
        <f t="shared" si="15"/>
        <v>0.95999896500000004</v>
      </c>
      <c r="R99" s="30">
        <f t="shared" si="16"/>
        <v>-3885.3054178466987</v>
      </c>
      <c r="S99" s="30">
        <f t="shared" si="17"/>
        <v>-2098.5101360339436</v>
      </c>
      <c r="T99" s="30">
        <f>S99/1000+'Начальные условия и парам.'!$M$21+'Начальные условия и парам.'!$K$19*'аксел-ры 1 и 2 и интегр-ие  '!Q99</f>
        <v>16.570031829416997</v>
      </c>
      <c r="V99" s="30">
        <f t="shared" si="18"/>
        <v>0.95999896500000004</v>
      </c>
      <c r="W99" s="30">
        <f t="shared" si="19"/>
        <v>6967.2488644210007</v>
      </c>
      <c r="X99" s="30">
        <f t="shared" si="20"/>
        <v>3551.5306744868299</v>
      </c>
      <c r="Y99" s="30">
        <f>X99/1000+'Начальные условия и парам.'!$G$22+'Начальные условия и парам.'!$N$19*'аксел-ры 1 и 2 и интегр-ие  '!V99</f>
        <v>0.43259084930448122</v>
      </c>
      <c r="Z99" s="30">
        <f t="shared" si="21"/>
        <v>0.95999896500000004</v>
      </c>
      <c r="AA99" s="30">
        <f t="shared" si="22"/>
        <v>6967.2488644210007</v>
      </c>
      <c r="AB99" s="30">
        <f t="shared" si="23"/>
        <v>3551.5306744868299</v>
      </c>
      <c r="AC99" s="30">
        <f>AB99/1000+'Начальные условия и парам.'!$M$22+'Начальные условия и парам.'!$N$19*'аксел-ры 1 и 2 и интегр-ие  '!Z99</f>
        <v>-0.25144943734685654</v>
      </c>
    </row>
    <row r="100" spans="1:29" x14ac:dyDescent="0.25">
      <c r="A100" s="12">
        <v>0.96999931299999997</v>
      </c>
      <c r="B100" s="12">
        <v>-6924.1865230000003</v>
      </c>
      <c r="C100" s="26"/>
      <c r="D100" s="12">
        <v>0.96999931299999997</v>
      </c>
      <c r="E100" s="12">
        <v>17838.974610000001</v>
      </c>
      <c r="F100" s="28"/>
      <c r="G100" s="12">
        <v>0.96999931299999997</v>
      </c>
      <c r="H100" s="12">
        <v>-6924.1865230000003</v>
      </c>
      <c r="I100" s="26"/>
      <c r="J100" s="12">
        <v>0.96999931299999997</v>
      </c>
      <c r="K100" s="12">
        <v>17838.974610000001</v>
      </c>
      <c r="M100" s="30">
        <f t="shared" si="12"/>
        <v>0.96999931299999997</v>
      </c>
      <c r="N100" s="30">
        <f t="shared" si="13"/>
        <v>-3950.2502615966987</v>
      </c>
      <c r="O100" s="30">
        <f t="shared" si="14"/>
        <v>-2137.6879144311606</v>
      </c>
      <c r="P100" s="30">
        <f>O100/1000+'Начальные условия и парам.'!$G$21+'Начальные условия и парам.'!$K$19*'аксел-ры 1 и 2 и интегр-ие  '!M100</f>
        <v>14.826362133281211</v>
      </c>
      <c r="Q100" s="30">
        <f t="shared" si="15"/>
        <v>0.96999931299999997</v>
      </c>
      <c r="R100" s="30">
        <f t="shared" si="16"/>
        <v>-3950.2502615966987</v>
      </c>
      <c r="S100" s="30">
        <f t="shared" si="17"/>
        <v>-2137.6879144311606</v>
      </c>
      <c r="T100" s="30">
        <f>S100/1000+'Начальные условия и парам.'!$M$21+'Начальные условия и парам.'!$K$19*'аксел-ры 1 и 2 и интегр-ие  '!Q100</f>
        <v>16.705747374853029</v>
      </c>
      <c r="V100" s="30">
        <f t="shared" si="18"/>
        <v>0.96999931299999997</v>
      </c>
      <c r="W100" s="30">
        <f t="shared" si="19"/>
        <v>7102.5733419610006</v>
      </c>
      <c r="X100" s="30">
        <f t="shared" si="20"/>
        <v>3621.8797855187399</v>
      </c>
      <c r="Y100" s="30">
        <f>X100/1000+'Начальные условия и парам.'!$G$22+'Начальные условия и парам.'!$N$19*'аксел-ры 1 и 2 и интегр-ие  '!V100</f>
        <v>0.43928399628920811</v>
      </c>
      <c r="Z100" s="30">
        <f t="shared" si="21"/>
        <v>0.96999931299999997</v>
      </c>
      <c r="AA100" s="30">
        <f t="shared" si="22"/>
        <v>7102.5733419610006</v>
      </c>
      <c r="AB100" s="30">
        <f t="shared" si="23"/>
        <v>3621.8797855187399</v>
      </c>
      <c r="AC100" s="30">
        <f>AB100/1000+'Начальные условия и парам.'!$M$22+'Начальные условия и парам.'!$N$19*'аксел-ры 1 и 2 и интегр-ие  '!Z100</f>
        <v>-0.24475629036212876</v>
      </c>
    </row>
    <row r="101" spans="1:29" x14ac:dyDescent="0.25">
      <c r="A101" s="12">
        <v>0.97999918500000005</v>
      </c>
      <c r="B101" s="12">
        <v>-4329.8623049999997</v>
      </c>
      <c r="C101" s="26"/>
      <c r="D101" s="12">
        <v>0.97999918500000005</v>
      </c>
      <c r="E101" s="12">
        <v>17357</v>
      </c>
      <c r="F101" s="28"/>
      <c r="G101" s="12">
        <v>0.97999918500000005</v>
      </c>
      <c r="H101" s="12">
        <v>-4329.8623049999997</v>
      </c>
      <c r="I101" s="26"/>
      <c r="J101" s="12">
        <v>0.97999918500000005</v>
      </c>
      <c r="K101" s="12">
        <v>17357</v>
      </c>
      <c r="M101" s="30">
        <f t="shared" si="12"/>
        <v>0.97999918500000005</v>
      </c>
      <c r="N101" s="30">
        <f t="shared" si="13"/>
        <v>-4006.5205057366989</v>
      </c>
      <c r="O101" s="30">
        <f t="shared" si="14"/>
        <v>-2177.4717682678274</v>
      </c>
      <c r="P101" s="30">
        <f>O101/1000+'Начальные условия и парам.'!$G$21+'Начальные условия и парам.'!$K$19*'аксел-ры 1 и 2 и интегр-ие  '!M101</f>
        <v>14.961463278645281</v>
      </c>
      <c r="Q101" s="30">
        <f t="shared" si="15"/>
        <v>0.97999918500000005</v>
      </c>
      <c r="R101" s="30">
        <f t="shared" si="16"/>
        <v>-4006.5205057366989</v>
      </c>
      <c r="S101" s="30">
        <f t="shared" si="17"/>
        <v>-2177.4717682678274</v>
      </c>
      <c r="T101" s="30">
        <f>S101/1000+'Начальные условия и парам.'!$M$21+'Начальные условия и парам.'!$K$19*'аксел-ры 1 и 2 и интегр-ие  '!Q101</f>
        <v>16.840848520217097</v>
      </c>
      <c r="V101" s="30">
        <f t="shared" si="18"/>
        <v>0.97999918500000005</v>
      </c>
      <c r="W101" s="30">
        <f t="shared" si="19"/>
        <v>7278.5532150110002</v>
      </c>
      <c r="X101" s="30">
        <f t="shared" si="20"/>
        <v>3693.7854183035997</v>
      </c>
      <c r="Y101" s="30">
        <f>X101/1000+'Начальные условия и парам.'!$G$22+'Начальные условия и парам.'!$N$19*'аксел-ры 1 и 2 и интегр-ие  '!V101</f>
        <v>0.44753669494533188</v>
      </c>
      <c r="Z101" s="30">
        <f t="shared" si="21"/>
        <v>0.97999918500000005</v>
      </c>
      <c r="AA101" s="30">
        <f t="shared" si="22"/>
        <v>7278.5532150110002</v>
      </c>
      <c r="AB101" s="30">
        <f t="shared" si="23"/>
        <v>3693.7854183035997</v>
      </c>
      <c r="AC101" s="30">
        <f>AB101/1000+'Начальные условия и парам.'!$M$22+'Начальные условия и парам.'!$N$19*'аксел-ры 1 и 2 и интегр-ие  '!Z101</f>
        <v>-0.23650359170600588</v>
      </c>
    </row>
    <row r="102" spans="1:29" x14ac:dyDescent="0.25">
      <c r="A102" s="12">
        <v>0.98999905600000004</v>
      </c>
      <c r="B102" s="12">
        <v>-1439.774048</v>
      </c>
      <c r="C102" s="26"/>
      <c r="D102" s="12">
        <v>0.98999905600000004</v>
      </c>
      <c r="E102" s="12">
        <v>11105.502930000001</v>
      </c>
      <c r="F102" s="28"/>
      <c r="G102" s="12">
        <v>0.98999905600000004</v>
      </c>
      <c r="H102" s="12">
        <v>-1439.774048</v>
      </c>
      <c r="I102" s="26"/>
      <c r="J102" s="12">
        <v>0.98999905600000004</v>
      </c>
      <c r="K102" s="12">
        <v>11105.502930000001</v>
      </c>
      <c r="M102" s="30">
        <f t="shared" si="12"/>
        <v>0.98999905600000004</v>
      </c>
      <c r="N102" s="30">
        <f t="shared" si="13"/>
        <v>-4035.3686875016988</v>
      </c>
      <c r="O102" s="30">
        <f t="shared" si="14"/>
        <v>-2217.6812142340195</v>
      </c>
      <c r="P102" s="30">
        <f>O102/1000+'Начальные условия и парам.'!$G$21+'Начальные условия и парам.'!$K$19*'аксел-ры 1 и 2 и интегр-ие  '!M102</f>
        <v>15.0961388143911</v>
      </c>
      <c r="Q102" s="30">
        <f t="shared" si="15"/>
        <v>0.98999905600000004</v>
      </c>
      <c r="R102" s="30">
        <f t="shared" si="16"/>
        <v>-4035.3686875016988</v>
      </c>
      <c r="S102" s="30">
        <f t="shared" si="17"/>
        <v>-2217.6812142340195</v>
      </c>
      <c r="T102" s="30">
        <f>S102/1000+'Начальные условия и парам.'!$M$21+'Начальные условия и парам.'!$K$19*'аксел-ры 1 и 2 и интегр-ие  '!Q102</f>
        <v>16.975524055962918</v>
      </c>
      <c r="V102" s="30">
        <f t="shared" si="18"/>
        <v>0.98999905600000004</v>
      </c>
      <c r="W102" s="30">
        <f t="shared" si="19"/>
        <v>7420.8657296609999</v>
      </c>
      <c r="X102" s="30">
        <f t="shared" si="20"/>
        <v>3767.2825130269598</v>
      </c>
      <c r="Y102" s="30">
        <f>X102/1000+'Начальные условия и парам.'!$G$22+'Начальные условия и парам.'!$N$19*'аксел-ры 1 и 2 и интегр-ие  '!V102</f>
        <v>0.45738086190533078</v>
      </c>
      <c r="Z102" s="30">
        <f t="shared" si="21"/>
        <v>0.98999905600000004</v>
      </c>
      <c r="AA102" s="30">
        <f t="shared" si="22"/>
        <v>7420.8657296609999</v>
      </c>
      <c r="AB102" s="30">
        <f t="shared" si="23"/>
        <v>3767.2825130269598</v>
      </c>
      <c r="AC102" s="30">
        <f>AB102/1000+'Начальные условия и парам.'!$M$22+'Начальные условия и парам.'!$N$19*'аксел-ры 1 и 2 и интегр-ие  '!Z102</f>
        <v>-0.22665942474600609</v>
      </c>
    </row>
    <row r="103" spans="1:29" x14ac:dyDescent="0.25">
      <c r="A103" s="12">
        <v>0.99999892700000004</v>
      </c>
      <c r="B103" s="12">
        <v>335.44754030000001</v>
      </c>
      <c r="C103" s="26"/>
      <c r="D103" s="12">
        <v>0.99999892700000004</v>
      </c>
      <c r="E103" s="12">
        <v>6518.7846680000002</v>
      </c>
      <c r="F103" s="28"/>
      <c r="G103" s="12">
        <v>0.99999892700000004</v>
      </c>
      <c r="H103" s="12">
        <v>335.44754030000001</v>
      </c>
      <c r="I103" s="26"/>
      <c r="J103" s="12">
        <v>0.99999892700000004</v>
      </c>
      <c r="K103" s="12">
        <v>6518.7846680000002</v>
      </c>
      <c r="M103" s="30">
        <f t="shared" si="12"/>
        <v>0.99999892700000004</v>
      </c>
      <c r="N103" s="30">
        <f t="shared" si="13"/>
        <v>-4040.8903200401987</v>
      </c>
      <c r="O103" s="30">
        <f t="shared" si="14"/>
        <v>-2258.0625092717291</v>
      </c>
      <c r="P103" s="30">
        <f>O103/1000+'Начальные условия и парам.'!$G$21+'Начальные условия и парам.'!$K$19*'аксел-ры 1 и 2 и интегр-ие  '!M103</f>
        <v>15.230642501065399</v>
      </c>
      <c r="Q103" s="30">
        <f t="shared" si="15"/>
        <v>0.99999892700000004</v>
      </c>
      <c r="R103" s="30">
        <f t="shared" si="16"/>
        <v>-4040.8903200401987</v>
      </c>
      <c r="S103" s="30">
        <f t="shared" si="17"/>
        <v>-2258.0625092717291</v>
      </c>
      <c r="T103" s="30">
        <f>S103/1000+'Начальные условия и парам.'!$M$21+'Начальные условия и парам.'!$K$19*'аксел-ры 1 и 2 и интегр-ие  '!Q103</f>
        <v>17.110027742637214</v>
      </c>
      <c r="V103" s="30">
        <f t="shared" si="18"/>
        <v>0.99999892700000004</v>
      </c>
      <c r="W103" s="30">
        <f t="shared" si="19"/>
        <v>7508.9871676510002</v>
      </c>
      <c r="X103" s="30">
        <f t="shared" si="20"/>
        <v>3841.9317775135196</v>
      </c>
      <c r="Y103" s="30">
        <f>X103/1000+'Начальные условия и парам.'!$G$22+'Начальные условия и парам.'!$N$19*'аксел-ры 1 и 2 и интегр-ие  '!V103</f>
        <v>0.46837719862852989</v>
      </c>
      <c r="Z103" s="30">
        <f t="shared" si="21"/>
        <v>0.99999892700000004</v>
      </c>
      <c r="AA103" s="30">
        <f t="shared" si="22"/>
        <v>7508.9871676510002</v>
      </c>
      <c r="AB103" s="30">
        <f t="shared" si="23"/>
        <v>3841.9317775135196</v>
      </c>
      <c r="AC103" s="30">
        <f>AB103/1000+'Начальные условия и парам.'!$M$22+'Начальные условия и парам.'!$N$19*'аксел-ры 1 и 2 и интегр-ие  '!Z103</f>
        <v>-0.21566308802280698</v>
      </c>
    </row>
    <row r="104" spans="1:29" x14ac:dyDescent="0.25">
      <c r="A104" s="12">
        <v>1.009999275</v>
      </c>
      <c r="B104" s="12">
        <v>1987.2847899999999</v>
      </c>
      <c r="C104" s="26"/>
      <c r="D104" s="12">
        <v>1.009999275</v>
      </c>
      <c r="E104" s="12">
        <v>708.03301999999996</v>
      </c>
      <c r="F104" s="28"/>
      <c r="G104" s="12">
        <v>1.009999275</v>
      </c>
      <c r="H104" s="12">
        <v>1987.2847899999999</v>
      </c>
      <c r="I104" s="26"/>
      <c r="J104" s="12">
        <v>1.009999275</v>
      </c>
      <c r="K104" s="12">
        <v>708.03301999999996</v>
      </c>
      <c r="M104" s="30">
        <f t="shared" si="12"/>
        <v>1.009999275</v>
      </c>
      <c r="N104" s="30">
        <f t="shared" si="13"/>
        <v>-4029.2766583886987</v>
      </c>
      <c r="O104" s="30">
        <f t="shared" si="14"/>
        <v>-2298.4133441638737</v>
      </c>
      <c r="P104" s="30">
        <f>O104/1000+'Начальные условия и парам.'!$G$21+'Начальные условия и парам.'!$K$19*'аксел-ры 1 и 2 и интегр-ие  '!M104</f>
        <v>15.365184990006503</v>
      </c>
      <c r="Q104" s="30">
        <f t="shared" si="15"/>
        <v>1.009999275</v>
      </c>
      <c r="R104" s="30">
        <f t="shared" si="16"/>
        <v>-4029.2766583886987</v>
      </c>
      <c r="S104" s="30">
        <f t="shared" si="17"/>
        <v>-2298.4133441638737</v>
      </c>
      <c r="T104" s="30">
        <f>S104/1000+'Начальные условия и парам.'!$M$21+'Начальные условия и парам.'!$K$19*'аксел-ры 1 и 2 и интегр-ие  '!Q104</f>
        <v>17.244570231578319</v>
      </c>
      <c r="V104" s="30">
        <f t="shared" si="18"/>
        <v>1.009999275</v>
      </c>
      <c r="W104" s="30">
        <f t="shared" si="19"/>
        <v>7545.1212560909999</v>
      </c>
      <c r="X104" s="30">
        <f t="shared" si="20"/>
        <v>3917.2023196322298</v>
      </c>
      <c r="Y104" s="30">
        <f>X104/1000+'Начальные условия и парам.'!$G$22+'Начальные условия и парам.'!$N$19*'аксел-ры 1 и 2 и интегр-ие  '!V104</f>
        <v>0.47999177670005722</v>
      </c>
      <c r="Z104" s="30">
        <f t="shared" si="21"/>
        <v>1.009999275</v>
      </c>
      <c r="AA104" s="30">
        <f t="shared" si="22"/>
        <v>7545.1212560909999</v>
      </c>
      <c r="AB104" s="30">
        <f t="shared" si="23"/>
        <v>3917.2023196322298</v>
      </c>
      <c r="AC104" s="30">
        <f>AB104/1000+'Начальные условия и парам.'!$M$22+'Начальные условия и парам.'!$N$19*'аксел-ры 1 и 2 и интегр-ие  '!Z104</f>
        <v>-0.20404850995128054</v>
      </c>
    </row>
    <row r="105" spans="1:29" x14ac:dyDescent="0.25">
      <c r="A105" s="12">
        <v>1.0199991470000001</v>
      </c>
      <c r="B105" s="12">
        <v>3127.729981</v>
      </c>
      <c r="C105" s="26"/>
      <c r="D105" s="12">
        <v>1.0199991470000001</v>
      </c>
      <c r="E105" s="12">
        <v>-11166.27637</v>
      </c>
      <c r="F105" s="28"/>
      <c r="G105" s="12">
        <v>1.0199991470000001</v>
      </c>
      <c r="H105" s="12">
        <v>3127.729981</v>
      </c>
      <c r="I105" s="26"/>
      <c r="J105" s="12">
        <v>1.0199991470000001</v>
      </c>
      <c r="K105" s="12">
        <v>-11166.27637</v>
      </c>
      <c r="M105" s="30">
        <f t="shared" si="12"/>
        <v>1.0199991470000001</v>
      </c>
      <c r="N105" s="30">
        <f t="shared" si="13"/>
        <v>-4003.7015845336987</v>
      </c>
      <c r="O105" s="30">
        <f t="shared" si="14"/>
        <v>-2338.5782353784857</v>
      </c>
      <c r="P105" s="30">
        <f>O105/1000+'Начальные условия и парам.'!$G$21+'Начальные условия и парам.'!$K$19*'аксел-ры 1 и 2 и интегр-ие  '!M105</f>
        <v>15.499905097992631</v>
      </c>
      <c r="Q105" s="30">
        <f t="shared" si="15"/>
        <v>1.0199991470000001</v>
      </c>
      <c r="R105" s="30">
        <f t="shared" si="16"/>
        <v>-4003.7015845336987</v>
      </c>
      <c r="S105" s="30">
        <f t="shared" si="17"/>
        <v>-2338.5782353784857</v>
      </c>
      <c r="T105" s="30">
        <f>S105/1000+'Начальные условия и парам.'!$M$21+'Начальные условия и парам.'!$K$19*'аксел-ры 1 и 2 и интегр-ие  '!Q105</f>
        <v>17.379290339564449</v>
      </c>
      <c r="V105" s="30">
        <f t="shared" si="18"/>
        <v>1.0199991470000001</v>
      </c>
      <c r="W105" s="30">
        <f t="shared" si="19"/>
        <v>7492.830039341</v>
      </c>
      <c r="X105" s="30">
        <f t="shared" si="20"/>
        <v>3992.3920761093896</v>
      </c>
      <c r="Y105" s="30">
        <f>X105/1000+'Начальные условия и парам.'!$G$22+'Начальные условия и парам.'!$N$19*'аксел-ры 1 и 2 и интегр-ие  '!V105</f>
        <v>0.49152859904848079</v>
      </c>
      <c r="Z105" s="30">
        <f t="shared" si="21"/>
        <v>1.0199991470000001</v>
      </c>
      <c r="AA105" s="30">
        <f t="shared" si="22"/>
        <v>7492.830039341</v>
      </c>
      <c r="AB105" s="30">
        <f t="shared" si="23"/>
        <v>3992.3920761093896</v>
      </c>
      <c r="AC105" s="30">
        <f>AB105/1000+'Начальные условия и парам.'!$M$22+'Начальные условия и парам.'!$N$19*'аксел-ры 1 и 2 и интегр-ие  '!Z105</f>
        <v>-0.19251168760285697</v>
      </c>
    </row>
    <row r="106" spans="1:29" x14ac:dyDescent="0.25">
      <c r="A106" s="12">
        <v>1.029999018</v>
      </c>
      <c r="B106" s="12">
        <v>3403.9135740000002</v>
      </c>
      <c r="C106" s="26"/>
      <c r="D106" s="12">
        <v>1.029999018</v>
      </c>
      <c r="E106" s="12">
        <v>-21500.646479999999</v>
      </c>
      <c r="F106" s="28"/>
      <c r="G106" s="12">
        <v>1.029999018</v>
      </c>
      <c r="H106" s="12">
        <v>3403.9135740000002</v>
      </c>
      <c r="I106" s="26"/>
      <c r="J106" s="12">
        <v>1.029999018</v>
      </c>
      <c r="K106" s="12">
        <v>-21500.646479999999</v>
      </c>
      <c r="M106" s="30">
        <f t="shared" si="12"/>
        <v>1.029999018</v>
      </c>
      <c r="N106" s="30">
        <f t="shared" si="13"/>
        <v>-3971.0433667586985</v>
      </c>
      <c r="O106" s="30">
        <f t="shared" si="14"/>
        <v>-2378.4519601349475</v>
      </c>
      <c r="P106" s="30">
        <f>O106/1000+'Начальные условия и парам.'!$G$21+'Начальные условия и парам.'!$K$19*'аксел-ры 1 и 2 и интегр-ие  '!M106</f>
        <v>15.634916354948176</v>
      </c>
      <c r="Q106" s="30">
        <f t="shared" si="15"/>
        <v>1.029999018</v>
      </c>
      <c r="R106" s="30">
        <f t="shared" si="16"/>
        <v>-3971.0433667586985</v>
      </c>
      <c r="S106" s="30">
        <f t="shared" si="17"/>
        <v>-2378.4519601349475</v>
      </c>
      <c r="T106" s="30">
        <f>S106/1000+'Начальные условия и парам.'!$M$21+'Начальные условия и парам.'!$K$19*'аксел-ры 1 и 2 и интегр-ие  '!Q106</f>
        <v>17.514301596519992</v>
      </c>
      <c r="V106" s="30">
        <f t="shared" si="18"/>
        <v>1.029999018</v>
      </c>
      <c r="W106" s="30">
        <f t="shared" si="19"/>
        <v>7329.4954250909996</v>
      </c>
      <c r="X106" s="30">
        <f t="shared" si="20"/>
        <v>4066.5037034315496</v>
      </c>
      <c r="Y106" s="30">
        <f>X106/1000+'Начальные условия и парам.'!$G$22+'Начальные условия и парам.'!$N$19*'аксел-ры 1 и 2 и интегр-ие  '!V106</f>
        <v>0.50198729860727909</v>
      </c>
      <c r="Z106" s="30">
        <f t="shared" si="21"/>
        <v>1.029999018</v>
      </c>
      <c r="AA106" s="30">
        <f t="shared" si="22"/>
        <v>7329.4954250909996</v>
      </c>
      <c r="AB106" s="30">
        <f t="shared" si="23"/>
        <v>4066.5037034315496</v>
      </c>
      <c r="AC106" s="30">
        <f>AB106/1000+'Начальные условия и парам.'!$M$22+'Начальные условия и парам.'!$N$19*'аксел-ры 1 и 2 и интегр-ие  '!Z106</f>
        <v>-0.18205298804405778</v>
      </c>
    </row>
    <row r="107" spans="1:29" x14ac:dyDescent="0.25">
      <c r="A107" s="12">
        <v>1.039999366</v>
      </c>
      <c r="B107" s="12">
        <v>2256.2036130000001</v>
      </c>
      <c r="C107" s="26"/>
      <c r="D107" s="12">
        <v>1.039999366</v>
      </c>
      <c r="E107" s="12">
        <v>-18159.007809999999</v>
      </c>
      <c r="F107" s="28"/>
      <c r="G107" s="12">
        <v>1.039999366</v>
      </c>
      <c r="H107" s="12">
        <v>2256.2036130000001</v>
      </c>
      <c r="I107" s="26"/>
      <c r="J107" s="12">
        <v>1.039999366</v>
      </c>
      <c r="K107" s="12">
        <v>-18159.007809999999</v>
      </c>
      <c r="M107" s="30">
        <f t="shared" si="12"/>
        <v>1.039999366</v>
      </c>
      <c r="N107" s="30">
        <f t="shared" si="13"/>
        <v>-3942.7427808236985</v>
      </c>
      <c r="O107" s="30">
        <f t="shared" si="14"/>
        <v>-2418.0208908728596</v>
      </c>
      <c r="P107" s="30">
        <f>O107/1000+'Начальные условия и парам.'!$G$21+'Начальные условия и парам.'!$K$19*'аксел-ры 1 и 2 и интегр-ие  '!M107</f>
        <v>15.770240748043513</v>
      </c>
      <c r="Q107" s="30">
        <f t="shared" si="15"/>
        <v>1.039999366</v>
      </c>
      <c r="R107" s="30">
        <f t="shared" si="16"/>
        <v>-3942.7427808236985</v>
      </c>
      <c r="S107" s="30">
        <f t="shared" si="17"/>
        <v>-2418.0208908728596</v>
      </c>
      <c r="T107" s="30">
        <f>S107/1000+'Начальные условия и парам.'!$M$21+'Начальные условия и парам.'!$K$19*'аксел-ры 1 и 2 и интегр-ие  '!Q107</f>
        <v>17.64962598961533</v>
      </c>
      <c r="V107" s="30">
        <f t="shared" si="18"/>
        <v>1.039999366</v>
      </c>
      <c r="W107" s="30">
        <f t="shared" si="19"/>
        <v>7131.1971536409992</v>
      </c>
      <c r="X107" s="30">
        <f t="shared" si="20"/>
        <v>4138.8071663252094</v>
      </c>
      <c r="Y107" s="30">
        <f>X107/1000+'Начальные условия и парам.'!$G$22+'Начальные условия и парам.'!$N$19*'аксел-ры 1 и 2 и интегр-ие  '!V107</f>
        <v>0.51063479745375684</v>
      </c>
      <c r="Z107" s="30">
        <f t="shared" si="21"/>
        <v>1.039999366</v>
      </c>
      <c r="AA107" s="30">
        <f t="shared" si="22"/>
        <v>7131.1971536409992</v>
      </c>
      <c r="AB107" s="30">
        <f t="shared" si="23"/>
        <v>4138.8071663252094</v>
      </c>
      <c r="AC107" s="30">
        <f>AB107/1000+'Начальные условия и парам.'!$M$22+'Начальные условия и парам.'!$N$19*'аксел-ры 1 и 2 и интегр-ие  '!Z107</f>
        <v>-0.17340548919758092</v>
      </c>
    </row>
    <row r="108" spans="1:29" x14ac:dyDescent="0.25">
      <c r="A108" s="12">
        <v>1.049999237</v>
      </c>
      <c r="B108" s="12">
        <v>-783.03149410000003</v>
      </c>
      <c r="C108" s="26"/>
      <c r="D108" s="12">
        <v>1.049999237</v>
      </c>
      <c r="E108" s="12">
        <v>-2731.3686520000001</v>
      </c>
      <c r="F108" s="28"/>
      <c r="G108" s="12">
        <v>1.049999237</v>
      </c>
      <c r="H108" s="12">
        <v>-783.03149410000003</v>
      </c>
      <c r="I108" s="26"/>
      <c r="J108" s="12">
        <v>1.049999237</v>
      </c>
      <c r="K108" s="12">
        <v>-2731.3686520000001</v>
      </c>
      <c r="M108" s="30">
        <f t="shared" si="12"/>
        <v>1.049999237</v>
      </c>
      <c r="N108" s="30">
        <f t="shared" si="13"/>
        <v>-3935.3769202291983</v>
      </c>
      <c r="O108" s="30">
        <f t="shared" si="14"/>
        <v>-2457.4114893781239</v>
      </c>
      <c r="P108" s="30">
        <f>O108/1000+'Начальные условия и парам.'!$G$21+'Начальные условия и парам.'!$K$19*'аксел-ры 1 и 2 и интегр-ие  '!M108</f>
        <v>15.90573513125026</v>
      </c>
      <c r="Q108" s="30">
        <f t="shared" si="15"/>
        <v>1.049999237</v>
      </c>
      <c r="R108" s="30">
        <f t="shared" si="16"/>
        <v>-3935.3769202291983</v>
      </c>
      <c r="S108" s="30">
        <f t="shared" si="17"/>
        <v>-2457.4114893781239</v>
      </c>
      <c r="T108" s="30">
        <f>S108/1000+'Начальные условия и парам.'!$M$21+'Начальные условия и парам.'!$K$19*'аксел-ры 1 и 2 и интегр-ие  '!Q108</f>
        <v>17.785120372822078</v>
      </c>
      <c r="V108" s="30">
        <f t="shared" si="18"/>
        <v>1.049999237</v>
      </c>
      <c r="W108" s="30">
        <f t="shared" si="19"/>
        <v>7026.7452713309995</v>
      </c>
      <c r="X108" s="30">
        <f t="shared" si="20"/>
        <v>4209.5968784500692</v>
      </c>
      <c r="Y108" s="30">
        <f>X108/1000+'Начальные условия и парам.'!$G$22+'Начальные условия и парам.'!$N$19*'аксел-ры 1 и 2 и интегр-ие  '!V108</f>
        <v>0.51777158181525618</v>
      </c>
      <c r="Z108" s="30">
        <f t="shared" si="21"/>
        <v>1.049999237</v>
      </c>
      <c r="AA108" s="30">
        <f t="shared" si="22"/>
        <v>7026.7452713309995</v>
      </c>
      <c r="AB108" s="30">
        <f t="shared" si="23"/>
        <v>4209.5968784500692</v>
      </c>
      <c r="AC108" s="30">
        <f>AB108/1000+'Начальные условия и парам.'!$M$22+'Начальные условия и парам.'!$N$19*'аксел-ры 1 и 2 и интегр-ие  '!Z108</f>
        <v>-0.16626870483608158</v>
      </c>
    </row>
    <row r="109" spans="1:29" x14ac:dyDescent="0.25">
      <c r="A109" s="12">
        <v>1.059999108</v>
      </c>
      <c r="B109" s="12">
        <v>-3675.2182619999999</v>
      </c>
      <c r="C109" s="26"/>
      <c r="D109" s="12">
        <v>1.059999108</v>
      </c>
      <c r="E109" s="12">
        <v>10915.24121</v>
      </c>
      <c r="F109" s="28"/>
      <c r="G109" s="12">
        <v>1.059999108</v>
      </c>
      <c r="H109" s="12">
        <v>-3675.2182619999999</v>
      </c>
      <c r="I109" s="26"/>
      <c r="J109" s="12">
        <v>1.059999108</v>
      </c>
      <c r="K109" s="12">
        <v>10915.24121</v>
      </c>
      <c r="M109" s="30">
        <f t="shared" si="12"/>
        <v>1.059999108</v>
      </c>
      <c r="N109" s="30">
        <f t="shared" si="13"/>
        <v>-3957.6681690096984</v>
      </c>
      <c r="O109" s="30">
        <f t="shared" si="14"/>
        <v>-2496.8767148243182</v>
      </c>
      <c r="P109" s="30">
        <f>O109/1000+'Начальные условия и парам.'!$G$21+'Начальные условия и парам.'!$K$19*'аксел-ры 1 и 2 и интегр-ие  '!M109</f>
        <v>16.041154887516079</v>
      </c>
      <c r="Q109" s="30">
        <f t="shared" si="15"/>
        <v>1.059999108</v>
      </c>
      <c r="R109" s="30">
        <f t="shared" si="16"/>
        <v>-3957.6681690096984</v>
      </c>
      <c r="S109" s="30">
        <f t="shared" si="17"/>
        <v>-2496.8767148243182</v>
      </c>
      <c r="T109" s="30">
        <f>S109/1000+'Начальные условия и парам.'!$M$21+'Начальные условия и парам.'!$K$19*'аксел-ры 1 и 2 и интегр-ие  '!Q109</f>
        <v>17.920540129087897</v>
      </c>
      <c r="V109" s="30">
        <f t="shared" si="18"/>
        <v>1.059999108</v>
      </c>
      <c r="W109" s="30">
        <f t="shared" si="19"/>
        <v>7067.6646341209998</v>
      </c>
      <c r="X109" s="30">
        <f t="shared" si="20"/>
        <v>4280.0689279773296</v>
      </c>
      <c r="Y109" s="30">
        <f>X109/1000+'Начальные условия и парам.'!$G$22+'Начальные условия и парам.'!$N$19*'аксел-ры 1 и 2 и интегр-ие  '!V109</f>
        <v>0.52459070357915483</v>
      </c>
      <c r="Z109" s="30">
        <f t="shared" si="21"/>
        <v>1.059999108</v>
      </c>
      <c r="AA109" s="30">
        <f t="shared" si="22"/>
        <v>7067.6646341209998</v>
      </c>
      <c r="AB109" s="30">
        <f t="shared" si="23"/>
        <v>4280.0689279773296</v>
      </c>
      <c r="AC109" s="30">
        <f>AB109/1000+'Начальные условия и парам.'!$M$22+'Начальные условия и парам.'!$N$19*'аксел-ры 1 и 2 и интегр-ие  '!Z109</f>
        <v>-0.15944958307218204</v>
      </c>
    </row>
    <row r="110" spans="1:29" x14ac:dyDescent="0.25">
      <c r="A110" s="12">
        <v>1.06999898</v>
      </c>
      <c r="B110" s="12">
        <v>-3812.3415530000002</v>
      </c>
      <c r="C110" s="26"/>
      <c r="D110" s="12">
        <v>1.06999898</v>
      </c>
      <c r="E110" s="12">
        <v>15427.63672</v>
      </c>
      <c r="F110" s="28"/>
      <c r="G110" s="12">
        <v>1.06999898</v>
      </c>
      <c r="H110" s="12">
        <v>-3812.3415530000002</v>
      </c>
      <c r="I110" s="26"/>
      <c r="J110" s="12">
        <v>1.06999898</v>
      </c>
      <c r="K110" s="12">
        <v>15427.63672</v>
      </c>
      <c r="M110" s="30">
        <f t="shared" si="12"/>
        <v>1.06999898</v>
      </c>
      <c r="N110" s="30">
        <f t="shared" si="13"/>
        <v>-3995.1059680846984</v>
      </c>
      <c r="O110" s="30">
        <f t="shared" si="14"/>
        <v>-2536.6405855097901</v>
      </c>
      <c r="P110" s="30">
        <f>O110/1000+'Начальные условия и парам.'!$G$21+'Начальные условия и парам.'!$K$19*'аксел-ры 1 и 2 и интегр-ие  '!M110</f>
        <v>16.176276016031341</v>
      </c>
      <c r="Q110" s="30">
        <f t="shared" si="15"/>
        <v>1.06999898</v>
      </c>
      <c r="R110" s="30">
        <f t="shared" si="16"/>
        <v>-3995.1059680846984</v>
      </c>
      <c r="S110" s="30">
        <f t="shared" si="17"/>
        <v>-2536.6405855097901</v>
      </c>
      <c r="T110" s="30">
        <f>S110/1000+'Начальные условия и парам.'!$M$21+'Начальные условия и парам.'!$K$19*'аксел-ры 1 и 2 и интегр-ие  '!Q110</f>
        <v>18.055661257603159</v>
      </c>
      <c r="V110" s="30">
        <f t="shared" si="18"/>
        <v>1.06999898</v>
      </c>
      <c r="W110" s="30">
        <f t="shared" si="19"/>
        <v>7199.379023771</v>
      </c>
      <c r="X110" s="30">
        <f t="shared" si="20"/>
        <v>4351.4041462667892</v>
      </c>
      <c r="Y110" s="30">
        <f>X110/1000+'Начальные условия и парам.'!$G$22+'Начальные условия и парам.'!$N$19*'аксел-ры 1 и 2 и интегр-ие  '!V110</f>
        <v>0.53227298773987908</v>
      </c>
      <c r="Z110" s="30">
        <f t="shared" si="21"/>
        <v>1.06999898</v>
      </c>
      <c r="AA110" s="30">
        <f t="shared" si="22"/>
        <v>7199.379023771</v>
      </c>
      <c r="AB110" s="30">
        <f t="shared" si="23"/>
        <v>4351.4041462667892</v>
      </c>
      <c r="AC110" s="30">
        <f>AB110/1000+'Начальные условия и парам.'!$M$22+'Начальные условия и парам.'!$N$19*'аксел-ры 1 и 2 и интегр-ие  '!Z110</f>
        <v>-0.15176729891145868</v>
      </c>
    </row>
    <row r="111" spans="1:29" x14ac:dyDescent="0.25">
      <c r="A111" s="12">
        <v>1.079999328</v>
      </c>
      <c r="B111" s="12">
        <v>-1709.7430420000001</v>
      </c>
      <c r="C111" s="26"/>
      <c r="D111" s="12">
        <v>1.079999328</v>
      </c>
      <c r="E111" s="12">
        <v>17291.84375</v>
      </c>
      <c r="F111" s="28"/>
      <c r="G111" s="12">
        <v>1.079999328</v>
      </c>
      <c r="H111" s="12">
        <v>-1709.7430420000001</v>
      </c>
      <c r="I111" s="26"/>
      <c r="J111" s="12">
        <v>1.079999328</v>
      </c>
      <c r="K111" s="12">
        <v>17291.84375</v>
      </c>
      <c r="M111" s="30">
        <f t="shared" si="12"/>
        <v>1.079999328</v>
      </c>
      <c r="N111" s="30">
        <f t="shared" si="13"/>
        <v>-4022.7163910596983</v>
      </c>
      <c r="O111" s="30">
        <f t="shared" si="14"/>
        <v>-2576.7296973055122</v>
      </c>
      <c r="P111" s="30">
        <f>O111/1000+'Начальные условия и парам.'!$G$21+'Начальные условия и парам.'!$K$19*'аксел-ры 1 и 2 и интегр-ие  '!M111</f>
        <v>16.311080228068867</v>
      </c>
      <c r="Q111" s="30">
        <f t="shared" si="15"/>
        <v>1.079999328</v>
      </c>
      <c r="R111" s="30">
        <f t="shared" si="16"/>
        <v>-4022.7163910596983</v>
      </c>
      <c r="S111" s="30">
        <f t="shared" si="17"/>
        <v>-2576.7296973055122</v>
      </c>
      <c r="T111" s="30">
        <f>S111/1000+'Начальные условия и парам.'!$M$21+'Начальные условия и парам.'!$K$19*'аксел-ры 1 и 2 и интегр-ие  '!Q111</f>
        <v>18.190465469640685</v>
      </c>
      <c r="V111" s="30">
        <f t="shared" si="18"/>
        <v>1.079999328</v>
      </c>
      <c r="W111" s="30">
        <f t="shared" si="19"/>
        <v>7362.9764261210003</v>
      </c>
      <c r="X111" s="30">
        <f t="shared" si="20"/>
        <v>4424.2159235162489</v>
      </c>
      <c r="Y111" s="30">
        <f>X111/1000+'Начальные условия и парам.'!$G$22+'Начальные условия и парам.'!$N$19*'аксел-ры 1 и 2 и интегр-ие  '!V111</f>
        <v>0.54142880094215506</v>
      </c>
      <c r="Z111" s="30">
        <f t="shared" si="21"/>
        <v>1.079999328</v>
      </c>
      <c r="AA111" s="30">
        <f t="shared" si="22"/>
        <v>7362.9764261210003</v>
      </c>
      <c r="AB111" s="30">
        <f t="shared" si="23"/>
        <v>4424.2159235162489</v>
      </c>
      <c r="AC111" s="30">
        <f>AB111/1000+'Начальные условия и парам.'!$M$22+'Начальные условия и парам.'!$N$19*'аксел-ры 1 и 2 и интегр-ие  '!Z111</f>
        <v>-0.14261148570918269</v>
      </c>
    </row>
    <row r="112" spans="1:29" x14ac:dyDescent="0.25">
      <c r="A112" s="12">
        <v>1.089999199</v>
      </c>
      <c r="B112" s="12">
        <v>-603.74713139999994</v>
      </c>
      <c r="C112" s="26"/>
      <c r="D112" s="12">
        <v>1.089999199</v>
      </c>
      <c r="E112" s="12">
        <v>20364.212889999999</v>
      </c>
      <c r="F112" s="28"/>
      <c r="G112" s="12">
        <v>1.089999199</v>
      </c>
      <c r="H112" s="12">
        <v>-603.74713139999994</v>
      </c>
      <c r="I112" s="26"/>
      <c r="J112" s="12">
        <v>1.089999199</v>
      </c>
      <c r="K112" s="12">
        <v>20364.212889999999</v>
      </c>
      <c r="M112" s="30">
        <f t="shared" si="12"/>
        <v>1.089999199</v>
      </c>
      <c r="N112" s="30">
        <f t="shared" si="13"/>
        <v>-4034.2838419266982</v>
      </c>
      <c r="O112" s="30">
        <f t="shared" si="14"/>
        <v>-2617.0146984704443</v>
      </c>
      <c r="P112" s="30">
        <f>O112/1000+'Начальные условия и парам.'!$G$21+'Начальные условия и парам.'!$K$19*'аксел-ры 1 и 2 и интегр-ие  '!M112</f>
        <v>16.445680208615947</v>
      </c>
      <c r="Q112" s="30">
        <f t="shared" si="15"/>
        <v>1.089999199</v>
      </c>
      <c r="R112" s="30">
        <f t="shared" si="16"/>
        <v>-4034.2838419266982</v>
      </c>
      <c r="S112" s="30">
        <f t="shared" si="17"/>
        <v>-2617.0146984704443</v>
      </c>
      <c r="T112" s="30">
        <f>S112/1000+'Начальные условия и парам.'!$M$21+'Начальные условия и парам.'!$K$19*'аксел-ры 1 и 2 и интегр-ие  '!Q112</f>
        <v>18.325065450187765</v>
      </c>
      <c r="V112" s="30">
        <f t="shared" si="18"/>
        <v>1.089999199</v>
      </c>
      <c r="W112" s="30">
        <f t="shared" si="19"/>
        <v>7551.256709321</v>
      </c>
      <c r="X112" s="30">
        <f t="shared" si="20"/>
        <v>4498.787089193459</v>
      </c>
      <c r="Y112" s="30">
        <f>X112/1000+'Начальные условия и парам.'!$G$22+'Начальные условия и парам.'!$N$19*'аксел-ры 1 и 2 и интегр-ие  '!V112</f>
        <v>0.55234703885600389</v>
      </c>
      <c r="Z112" s="30">
        <f t="shared" si="21"/>
        <v>1.089999199</v>
      </c>
      <c r="AA112" s="30">
        <f t="shared" si="22"/>
        <v>7551.256709321</v>
      </c>
      <c r="AB112" s="30">
        <f t="shared" si="23"/>
        <v>4498.787089193459</v>
      </c>
      <c r="AC112" s="30">
        <f>AB112/1000+'Начальные условия и парам.'!$M$22+'Начальные условия и парам.'!$N$19*'аксел-ры 1 и 2 и интегр-ие  '!Z112</f>
        <v>-0.13169324779533298</v>
      </c>
    </row>
    <row r="113" spans="1:29" x14ac:dyDescent="0.25">
      <c r="A113" s="12">
        <v>1.09999907</v>
      </c>
      <c r="B113" s="12">
        <v>-640.68634029999998</v>
      </c>
      <c r="C113" s="26"/>
      <c r="D113" s="12">
        <v>1.09999907</v>
      </c>
      <c r="E113" s="12">
        <v>14170.48047</v>
      </c>
      <c r="F113" s="28"/>
      <c r="G113" s="12">
        <v>1.09999907</v>
      </c>
      <c r="H113" s="12">
        <v>-640.68634029999998</v>
      </c>
      <c r="I113" s="26"/>
      <c r="J113" s="12">
        <v>1.09999907</v>
      </c>
      <c r="K113" s="12">
        <v>14170.48047</v>
      </c>
      <c r="M113" s="30">
        <f t="shared" si="12"/>
        <v>1.09999907</v>
      </c>
      <c r="N113" s="30">
        <f t="shared" si="13"/>
        <v>-4040.5060092851982</v>
      </c>
      <c r="O113" s="30">
        <f t="shared" si="14"/>
        <v>-2657.3886477265037</v>
      </c>
      <c r="P113" s="30">
        <f>O113/1000+'Начальные условия и парам.'!$G$21+'Начальные условия и парам.'!$K$19*'аксел-ры 1 и 2 и интегр-ие  '!M113</f>
        <v>16.580191241071898</v>
      </c>
      <c r="Q113" s="30">
        <f t="shared" si="15"/>
        <v>1.09999907</v>
      </c>
      <c r="R113" s="30">
        <f t="shared" si="16"/>
        <v>-4040.5060092851982</v>
      </c>
      <c r="S113" s="30">
        <f t="shared" si="17"/>
        <v>-2657.3886477265037</v>
      </c>
      <c r="T113" s="30">
        <f>S113/1000+'Начальные условия и парам.'!$M$21+'Начальные условия и парам.'!$K$19*'аксел-ры 1 и 2 и интегр-ие  '!Q113</f>
        <v>18.459576482643712</v>
      </c>
      <c r="V113" s="30">
        <f t="shared" si="18"/>
        <v>1.09999907</v>
      </c>
      <c r="W113" s="30">
        <f t="shared" si="19"/>
        <v>7723.9301761209999</v>
      </c>
      <c r="X113" s="30">
        <f t="shared" si="20"/>
        <v>4575.1630236206693</v>
      </c>
      <c r="Y113" s="30">
        <f>X113/1000+'Начальные условия и парам.'!$G$22+'Начальные условия и парам.'!$N$19*'аксел-ры 1 и 2 и интегр-ие  '!V113</f>
        <v>0.56507004551985318</v>
      </c>
      <c r="Z113" s="30">
        <f t="shared" si="21"/>
        <v>1.09999907</v>
      </c>
      <c r="AA113" s="30">
        <f t="shared" si="22"/>
        <v>7723.9301761209999</v>
      </c>
      <c r="AB113" s="30">
        <f t="shared" si="23"/>
        <v>4575.1630236206693</v>
      </c>
      <c r="AC113" s="30">
        <f>AB113/1000+'Начальные условия и парам.'!$M$22+'Начальные условия и парам.'!$N$19*'аксел-ры 1 и 2 и интегр-ие  '!Z113</f>
        <v>-0.11897024113148369</v>
      </c>
    </row>
    <row r="114" spans="1:29" x14ac:dyDescent="0.25">
      <c r="A114" s="12">
        <v>1.109998941</v>
      </c>
      <c r="B114" s="12">
        <v>569.25292969999998</v>
      </c>
      <c r="C114" s="26"/>
      <c r="D114" s="12">
        <v>1.109998941</v>
      </c>
      <c r="E114" s="12">
        <v>-4804.0126950000003</v>
      </c>
      <c r="F114" s="28"/>
      <c r="G114" s="12">
        <v>1.109998941</v>
      </c>
      <c r="H114" s="12">
        <v>569.25292969999998</v>
      </c>
      <c r="I114" s="26"/>
      <c r="J114" s="12">
        <v>1.109998941</v>
      </c>
      <c r="K114" s="12">
        <v>-4804.0126950000003</v>
      </c>
      <c r="M114" s="30">
        <f t="shared" si="12"/>
        <v>1.109998941</v>
      </c>
      <c r="N114" s="30">
        <f t="shared" si="13"/>
        <v>-4040.8631763381982</v>
      </c>
      <c r="O114" s="30">
        <f t="shared" si="14"/>
        <v>-2697.7954936546207</v>
      </c>
      <c r="P114" s="30">
        <f>O114/1000+'Начальные условия и парам.'!$G$21+'Начальные условия и парам.'!$K$19*'аксел-ры 1 и 2 и интегр-ие  '!M114</f>
        <v>16.714669376855792</v>
      </c>
      <c r="Q114" s="30">
        <f t="shared" si="15"/>
        <v>1.109998941</v>
      </c>
      <c r="R114" s="30">
        <f t="shared" si="16"/>
        <v>-4040.8631763381982</v>
      </c>
      <c r="S114" s="30">
        <f t="shared" si="17"/>
        <v>-2697.7954936546207</v>
      </c>
      <c r="T114" s="30">
        <f>S114/1000+'Начальные условия и парам.'!$M$21+'Начальные условия и парам.'!$K$19*'аксел-ры 1 и 2 и интегр-ие  '!Q114</f>
        <v>18.594054618427609</v>
      </c>
      <c r="V114" s="30">
        <f t="shared" si="18"/>
        <v>1.109998941</v>
      </c>
      <c r="W114" s="30">
        <f t="shared" si="19"/>
        <v>7770.7625149960004</v>
      </c>
      <c r="X114" s="30">
        <f t="shared" si="20"/>
        <v>4652.6364870762545</v>
      </c>
      <c r="Y114" s="30">
        <f>X114/1000+'Начальные условия и парам.'!$G$22+'Начальные условия и парам.'!$N$19*'аксел-ры 1 и 2 и интегр-ие  '!V114</f>
        <v>0.57889058121207793</v>
      </c>
      <c r="Z114" s="30">
        <f t="shared" si="21"/>
        <v>1.109998941</v>
      </c>
      <c r="AA114" s="30">
        <f t="shared" si="22"/>
        <v>7770.7625149960004</v>
      </c>
      <c r="AB114" s="30">
        <f t="shared" si="23"/>
        <v>4652.6364870762545</v>
      </c>
      <c r="AC114" s="30">
        <f>AB114/1000+'Начальные условия и парам.'!$M$22+'Начальные условия и парам.'!$N$19*'аксел-ры 1 и 2 и интегр-ие  '!Z114</f>
        <v>-0.10514970543925983</v>
      </c>
    </row>
    <row r="115" spans="1:29" x14ac:dyDescent="0.25">
      <c r="A115" s="12">
        <v>1.11999929</v>
      </c>
      <c r="B115" s="12">
        <v>854.04339600000003</v>
      </c>
      <c r="C115" s="26"/>
      <c r="D115" s="12">
        <v>1.11999929</v>
      </c>
      <c r="E115" s="12">
        <v>-17087.714840000001</v>
      </c>
      <c r="F115" s="28"/>
      <c r="G115" s="12">
        <v>1.11999929</v>
      </c>
      <c r="H115" s="12">
        <v>854.04339600000003</v>
      </c>
      <c r="I115" s="26"/>
      <c r="J115" s="12">
        <v>1.11999929</v>
      </c>
      <c r="K115" s="12">
        <v>-17087.714840000001</v>
      </c>
      <c r="M115" s="30">
        <f t="shared" si="12"/>
        <v>1.11999929</v>
      </c>
      <c r="N115" s="30">
        <f t="shared" si="13"/>
        <v>-4033.7466947096982</v>
      </c>
      <c r="O115" s="30">
        <f t="shared" si="14"/>
        <v>-2738.1685430098601</v>
      </c>
      <c r="P115" s="30">
        <f>O115/1000+'Начальные условия и парам.'!$G$21+'Начальные условия и парам.'!$K$19*'аксел-ры 1 и 2 и интегр-ие  '!M115</f>
        <v>16.849189668822529</v>
      </c>
      <c r="Q115" s="30">
        <f t="shared" si="15"/>
        <v>1.11999929</v>
      </c>
      <c r="R115" s="30">
        <f t="shared" si="16"/>
        <v>-4033.7466947096982</v>
      </c>
      <c r="S115" s="30">
        <f t="shared" si="17"/>
        <v>-2738.1685430098601</v>
      </c>
      <c r="T115" s="30">
        <f>S115/1000+'Начальные условия и парам.'!$M$21+'Начальные условия и парам.'!$K$19*'аксел-ры 1 и 2 и интегр-ие  '!Q115</f>
        <v>18.728574910394343</v>
      </c>
      <c r="V115" s="30">
        <f t="shared" si="18"/>
        <v>1.11999929</v>
      </c>
      <c r="W115" s="30">
        <f t="shared" si="19"/>
        <v>7661.3038773210001</v>
      </c>
      <c r="X115" s="30">
        <f t="shared" si="20"/>
        <v>4729.7968190378397</v>
      </c>
      <c r="Y115" s="30">
        <f>X115/1000+'Начальные условия и парам.'!$G$22+'Начальные условия и парам.'!$N$19*'аксел-ры 1 и 2 и интегр-ие  '!V115</f>
        <v>0.59239494276110438</v>
      </c>
      <c r="Z115" s="30">
        <f t="shared" si="21"/>
        <v>1.11999929</v>
      </c>
      <c r="AA115" s="30">
        <f t="shared" si="22"/>
        <v>7661.3038773210001</v>
      </c>
      <c r="AB115" s="30">
        <f t="shared" si="23"/>
        <v>4729.7968190378397</v>
      </c>
      <c r="AC115" s="30">
        <f>AB115/1000+'Начальные условия и парам.'!$M$22+'Начальные условия и парам.'!$N$19*'аксел-ры 1 и 2 и интегр-ие  '!Z115</f>
        <v>-9.1645343890232489E-2</v>
      </c>
    </row>
    <row r="116" spans="1:29" x14ac:dyDescent="0.25">
      <c r="A116" s="12">
        <v>1.129999161</v>
      </c>
      <c r="B116" s="12">
        <v>-1212.2947999999999</v>
      </c>
      <c r="C116" s="26"/>
      <c r="D116" s="12">
        <v>1.129999161</v>
      </c>
      <c r="E116" s="12">
        <v>-10940.56738</v>
      </c>
      <c r="F116" s="28"/>
      <c r="G116" s="12">
        <v>1.129999161</v>
      </c>
      <c r="H116" s="12">
        <v>-1212.2947999999999</v>
      </c>
      <c r="I116" s="26"/>
      <c r="J116" s="12">
        <v>1.129999161</v>
      </c>
      <c r="K116" s="12">
        <v>-10940.56738</v>
      </c>
      <c r="M116" s="30">
        <f t="shared" si="12"/>
        <v>1.129999161</v>
      </c>
      <c r="N116" s="30">
        <f t="shared" si="13"/>
        <v>-4035.5379517296983</v>
      </c>
      <c r="O116" s="30">
        <f t="shared" si="14"/>
        <v>-2778.5149662420572</v>
      </c>
      <c r="P116" s="30">
        <f>O116/1000+'Начальные условия и парам.'!$G$21+'Начальные условия и парам.'!$K$19*'аксел-ры 1 и 2 и интегр-ие  '!M116</f>
        <v>16.98372822730234</v>
      </c>
      <c r="Q116" s="30">
        <f t="shared" si="15"/>
        <v>1.129999161</v>
      </c>
      <c r="R116" s="30">
        <f t="shared" si="16"/>
        <v>-4035.5379517296983</v>
      </c>
      <c r="S116" s="30">
        <f t="shared" si="17"/>
        <v>-2778.5149662420572</v>
      </c>
      <c r="T116" s="30">
        <f>S116/1000+'Начальные условия и парам.'!$M$21+'Начальные условия и парам.'!$K$19*'аксел-ры 1 и 2 и интегр-ие  '!Q116</f>
        <v>18.863113468874154</v>
      </c>
      <c r="V116" s="30">
        <f t="shared" si="18"/>
        <v>1.129999161</v>
      </c>
      <c r="W116" s="30">
        <f t="shared" si="19"/>
        <v>7521.1624662209997</v>
      </c>
      <c r="X116" s="30">
        <f t="shared" si="20"/>
        <v>4805.7091507555497</v>
      </c>
      <c r="Y116" s="30">
        <f>X116/1000+'Начальные условия и парам.'!$G$22+'Начальные условия и парам.'!$N$19*'аксел-ры 1 и 2 и интегр-ие  '!V116</f>
        <v>0.60465434671545371</v>
      </c>
      <c r="Z116" s="30">
        <f t="shared" si="21"/>
        <v>1.129999161</v>
      </c>
      <c r="AA116" s="30">
        <f t="shared" si="22"/>
        <v>7521.1624662209997</v>
      </c>
      <c r="AB116" s="30">
        <f t="shared" si="23"/>
        <v>4805.7091507555497</v>
      </c>
      <c r="AC116" s="30">
        <f>AB116/1000+'Начальные условия и парам.'!$M$22+'Начальные условия и парам.'!$N$19*'аксел-ры 1 и 2 и интегр-ие  '!Z116</f>
        <v>-7.9385939935883165E-2</v>
      </c>
    </row>
    <row r="117" spans="1:29" x14ac:dyDescent="0.25">
      <c r="A117" s="12">
        <v>1.139999032</v>
      </c>
      <c r="B117" s="12">
        <v>-978.36175539999999</v>
      </c>
      <c r="C117" s="26"/>
      <c r="D117" s="12">
        <v>1.139999032</v>
      </c>
      <c r="E117" s="12">
        <v>-3604.1762699999999</v>
      </c>
      <c r="F117" s="28"/>
      <c r="G117" s="12">
        <v>1.139999032</v>
      </c>
      <c r="H117" s="12">
        <v>-978.36175539999999</v>
      </c>
      <c r="I117" s="26"/>
      <c r="J117" s="12">
        <v>1.139999032</v>
      </c>
      <c r="K117" s="12">
        <v>-3604.1762699999999</v>
      </c>
      <c r="M117" s="30">
        <f t="shared" si="12"/>
        <v>1.139999032</v>
      </c>
      <c r="N117" s="30">
        <f t="shared" si="13"/>
        <v>-4046.4912345066982</v>
      </c>
      <c r="O117" s="30">
        <f t="shared" si="14"/>
        <v>-2818.9251121732391</v>
      </c>
      <c r="P117" s="30">
        <f>O117/1000+'Начальные условия и парам.'!$G$21+'Начальные условия и парам.'!$K$19*'аксел-ры 1 и 2 и интегр-ие  '!M117</f>
        <v>17.118203063083168</v>
      </c>
      <c r="Q117" s="30">
        <f t="shared" si="15"/>
        <v>1.139999032</v>
      </c>
      <c r="R117" s="30">
        <f t="shared" si="16"/>
        <v>-4046.4912345066982</v>
      </c>
      <c r="S117" s="30">
        <f t="shared" si="17"/>
        <v>-2818.9251121732391</v>
      </c>
      <c r="T117" s="30">
        <f>S117/1000+'Начальные условия и парам.'!$M$21+'Начальные условия и парам.'!$K$19*'аксел-ры 1 и 2 и интегр-ие  '!Q117</f>
        <v>18.997588304654986</v>
      </c>
      <c r="V117" s="30">
        <f t="shared" si="18"/>
        <v>1.139999032</v>
      </c>
      <c r="W117" s="30">
        <f t="shared" si="19"/>
        <v>7448.4387479709994</v>
      </c>
      <c r="X117" s="30">
        <f t="shared" si="20"/>
        <v>4880.5571568265095</v>
      </c>
      <c r="Y117" s="30">
        <f>X117/1000+'Начальные условия и парам.'!$G$22+'Начальные условия и парам.'!$N$19*'аксел-ры 1 и 2 и интегр-ие  '!V117</f>
        <v>0.61584942502305307</v>
      </c>
      <c r="Z117" s="30">
        <f t="shared" si="21"/>
        <v>1.139999032</v>
      </c>
      <c r="AA117" s="30">
        <f t="shared" si="22"/>
        <v>7448.4387479709994</v>
      </c>
      <c r="AB117" s="30">
        <f t="shared" si="23"/>
        <v>4880.5571568265095</v>
      </c>
      <c r="AC117" s="30">
        <f>AB117/1000+'Начальные условия и парам.'!$M$22+'Начальные условия и парам.'!$N$19*'аксел-ры 1 и 2 и интегр-ие  '!Z117</f>
        <v>-6.8190861628283805E-2</v>
      </c>
    </row>
    <row r="118" spans="1:29" x14ac:dyDescent="0.25">
      <c r="A118" s="12">
        <v>1.149998903</v>
      </c>
      <c r="B118" s="12">
        <v>2139.6140140000002</v>
      </c>
      <c r="C118" s="26"/>
      <c r="D118" s="12">
        <v>1.149998903</v>
      </c>
      <c r="E118" s="12">
        <v>-4755.720703</v>
      </c>
      <c r="F118" s="28"/>
      <c r="G118" s="12">
        <v>1.149998903</v>
      </c>
      <c r="H118" s="12">
        <v>2139.6140140000002</v>
      </c>
      <c r="I118" s="26"/>
      <c r="J118" s="12">
        <v>1.149998903</v>
      </c>
      <c r="K118" s="12">
        <v>-4755.720703</v>
      </c>
      <c r="M118" s="30">
        <f t="shared" si="12"/>
        <v>1.149998903</v>
      </c>
      <c r="N118" s="30">
        <f t="shared" si="13"/>
        <v>-4040.6849732136984</v>
      </c>
      <c r="O118" s="30">
        <f t="shared" si="14"/>
        <v>-2859.3609932118411</v>
      </c>
      <c r="P118" s="30">
        <f>O118/1000+'Начальные условия и парам.'!$G$21+'Начальные условия и парам.'!$K$19*'аксел-ры 1 и 2 и интегр-ие  '!M118</f>
        <v>17.252652163756576</v>
      </c>
      <c r="Q118" s="30">
        <f t="shared" si="15"/>
        <v>1.149998903</v>
      </c>
      <c r="R118" s="30">
        <f t="shared" si="16"/>
        <v>-4040.6849732136984</v>
      </c>
      <c r="S118" s="30">
        <f t="shared" si="17"/>
        <v>-2859.3609932118411</v>
      </c>
      <c r="T118" s="30">
        <f>S118/1000+'Начальные условия и парам.'!$M$21+'Начальные условия и парам.'!$K$19*'аксел-ры 1 и 2 и интегр-ие  '!Q118</f>
        <v>19.132037405328393</v>
      </c>
      <c r="V118" s="30">
        <f t="shared" si="18"/>
        <v>1.149998903</v>
      </c>
      <c r="W118" s="30">
        <f t="shared" si="19"/>
        <v>7406.6392631059998</v>
      </c>
      <c r="X118" s="30">
        <f t="shared" si="20"/>
        <v>4954.8325468818948</v>
      </c>
      <c r="Y118" s="30">
        <f>X118/1000+'Начальные условия и парам.'!$G$22+'Начальные условия и парам.'!$N$19*'аксел-ры 1 и 2 и интегр-ие  '!V118</f>
        <v>0.62647188731507697</v>
      </c>
      <c r="Z118" s="30">
        <f t="shared" si="21"/>
        <v>1.149998903</v>
      </c>
      <c r="AA118" s="30">
        <f t="shared" si="22"/>
        <v>7406.6392631059998</v>
      </c>
      <c r="AB118" s="30">
        <f t="shared" si="23"/>
        <v>4954.8325468818948</v>
      </c>
      <c r="AC118" s="30">
        <f>AB118/1000+'Начальные условия и парам.'!$M$22+'Начальные условия и парам.'!$N$19*'аксел-ры 1 и 2 и интегр-ие  '!Z118</f>
        <v>-5.7568399336259901E-2</v>
      </c>
    </row>
    <row r="119" spans="1:29" x14ac:dyDescent="0.25">
      <c r="A119" s="12">
        <v>1.1599992509999999</v>
      </c>
      <c r="B119" s="12">
        <v>2688.9653320000002</v>
      </c>
      <c r="C119" s="26"/>
      <c r="D119" s="12">
        <v>1.1599992509999999</v>
      </c>
      <c r="E119" s="12">
        <v>2575.2387699999999</v>
      </c>
      <c r="F119" s="28"/>
      <c r="G119" s="12">
        <v>1.1599992509999999</v>
      </c>
      <c r="H119" s="12">
        <v>2688.9653320000002</v>
      </c>
      <c r="I119" s="26"/>
      <c r="J119" s="12">
        <v>1.1599992509999999</v>
      </c>
      <c r="K119" s="12">
        <v>2575.2387699999999</v>
      </c>
      <c r="M119" s="30">
        <f t="shared" si="12"/>
        <v>1.1599992509999999</v>
      </c>
      <c r="N119" s="30">
        <f t="shared" si="13"/>
        <v>-4016.5420764836986</v>
      </c>
      <c r="O119" s="30">
        <f t="shared" si="14"/>
        <v>-2899.6471284603281</v>
      </c>
      <c r="P119" s="30">
        <f>O119/1000+'Начальные условия и парам.'!$G$21+'Начальные условия и парам.'!$K$19*'аксел-ры 1 и 2 и интегр-ие  '!M119</f>
        <v>17.387259352341342</v>
      </c>
      <c r="Q119" s="30">
        <f t="shared" si="15"/>
        <v>1.1599992509999999</v>
      </c>
      <c r="R119" s="30">
        <f t="shared" si="16"/>
        <v>-4016.5420764836986</v>
      </c>
      <c r="S119" s="30">
        <f t="shared" si="17"/>
        <v>-2899.6471284603281</v>
      </c>
      <c r="T119" s="30">
        <f>S119/1000+'Начальные условия и парам.'!$M$21+'Начальные условия и парам.'!$K$19*'аксел-ры 1 и 2 и интегр-ие  '!Q119</f>
        <v>19.266644593913156</v>
      </c>
      <c r="V119" s="30">
        <f t="shared" si="18"/>
        <v>1.1599992509999999</v>
      </c>
      <c r="W119" s="30">
        <f t="shared" si="19"/>
        <v>7395.7368534409998</v>
      </c>
      <c r="X119" s="30">
        <f t="shared" si="20"/>
        <v>5028.8444274646299</v>
      </c>
      <c r="Y119" s="30">
        <f>X119/1000+'Начальные условия и парам.'!$G$22+'Начальные условия и парам.'!$N$19*'аксел-ры 1 и 2 и интегр-ие  '!V119</f>
        <v>0.63682780385063076</v>
      </c>
      <c r="Z119" s="30">
        <f t="shared" si="21"/>
        <v>1.1599992509999999</v>
      </c>
      <c r="AA119" s="30">
        <f t="shared" si="22"/>
        <v>7395.7368534409998</v>
      </c>
      <c r="AB119" s="30">
        <f t="shared" si="23"/>
        <v>5028.8444274646299</v>
      </c>
      <c r="AC119" s="30">
        <f>AB119/1000+'Начальные условия и парам.'!$M$22+'Начальные условия и парам.'!$N$19*'аксел-ры 1 и 2 и интегр-ие  '!Z119</f>
        <v>-4.7212482800707001E-2</v>
      </c>
    </row>
    <row r="120" spans="1:29" x14ac:dyDescent="0.25">
      <c r="A120" s="12">
        <v>1.169999123</v>
      </c>
      <c r="B120" s="12">
        <v>-48.419090269999998</v>
      </c>
      <c r="C120" s="26"/>
      <c r="D120" s="12">
        <v>1.169999123</v>
      </c>
      <c r="E120" s="12">
        <v>20230.421880000002</v>
      </c>
      <c r="F120" s="28"/>
      <c r="G120" s="12">
        <v>1.169999123</v>
      </c>
      <c r="H120" s="12">
        <v>-48.419090269999998</v>
      </c>
      <c r="I120" s="26"/>
      <c r="J120" s="12">
        <v>1.169999123</v>
      </c>
      <c r="K120" s="12">
        <v>20230.421880000002</v>
      </c>
      <c r="M120" s="30">
        <f t="shared" si="12"/>
        <v>1.169999123</v>
      </c>
      <c r="N120" s="30">
        <f t="shared" si="13"/>
        <v>-4003.3393452750483</v>
      </c>
      <c r="O120" s="30">
        <f t="shared" si="14"/>
        <v>-2939.746535569122</v>
      </c>
      <c r="P120" s="30">
        <f>O120/1000+'Начальные условия и парам.'!$G$21+'Начальные условия и парам.'!$K$19*'аксел-ры 1 и 2 и интегр-ие  '!M120</f>
        <v>17.522044944433283</v>
      </c>
      <c r="Q120" s="30">
        <f t="shared" si="15"/>
        <v>1.169999123</v>
      </c>
      <c r="R120" s="30">
        <f t="shared" si="16"/>
        <v>-4003.3393452750483</v>
      </c>
      <c r="S120" s="30">
        <f t="shared" si="17"/>
        <v>-2939.746535569122</v>
      </c>
      <c r="T120" s="30">
        <f>S120/1000+'Начальные условия и парам.'!$M$21+'Начальные условия и парам.'!$K$19*'аксел-ры 1 и 2 и интегр-ие  '!Q120</f>
        <v>19.401430186005101</v>
      </c>
      <c r="V120" s="30">
        <f t="shared" si="18"/>
        <v>1.169999123</v>
      </c>
      <c r="W120" s="30">
        <f t="shared" si="19"/>
        <v>7509.7651566909999</v>
      </c>
      <c r="X120" s="30">
        <f t="shared" si="20"/>
        <v>5103.3719375152896</v>
      </c>
      <c r="Y120" s="30">
        <f>X120/1000+'Начальные условия и парам.'!$G$22+'Начальные условия и парам.'!$N$19*'аксел-ры 1 и 2 и интегр-ие  '!V120</f>
        <v>0.64770237977255363</v>
      </c>
      <c r="Z120" s="30">
        <f t="shared" si="21"/>
        <v>1.169999123</v>
      </c>
      <c r="AA120" s="30">
        <f t="shared" si="22"/>
        <v>7509.7651566909999</v>
      </c>
      <c r="AB120" s="30">
        <f t="shared" si="23"/>
        <v>5103.3719375152896</v>
      </c>
      <c r="AC120" s="30">
        <f>AB120/1000+'Начальные условия и парам.'!$M$22+'Начальные условия и парам.'!$N$19*'аксел-ры 1 и 2 и интегр-ие  '!Z120</f>
        <v>-3.6337906878784132E-2</v>
      </c>
    </row>
    <row r="121" spans="1:29" x14ac:dyDescent="0.25">
      <c r="A121" s="12">
        <v>1.179998994</v>
      </c>
      <c r="B121" s="12">
        <v>-1972.479004</v>
      </c>
      <c r="C121" s="26"/>
      <c r="D121" s="12">
        <v>1.179998994</v>
      </c>
      <c r="E121" s="12">
        <v>22543.871090000001</v>
      </c>
      <c r="F121" s="28"/>
      <c r="G121" s="12">
        <v>1.179998994</v>
      </c>
      <c r="H121" s="12">
        <v>-1972.479004</v>
      </c>
      <c r="I121" s="26"/>
      <c r="J121" s="12">
        <v>1.179998994</v>
      </c>
      <c r="K121" s="12">
        <v>22543.871090000001</v>
      </c>
      <c r="M121" s="30">
        <f t="shared" si="12"/>
        <v>1.179998994</v>
      </c>
      <c r="N121" s="30">
        <f t="shared" si="13"/>
        <v>-4013.4438357463982</v>
      </c>
      <c r="O121" s="30">
        <f t="shared" si="14"/>
        <v>-2979.8304514742294</v>
      </c>
      <c r="P121" s="30">
        <f>O121/1000+'Начальные условия и парам.'!$G$21+'Начальные условия и парам.'!$K$19*'аксел-ры 1 и 2 и интегр-ие  '!M121</f>
        <v>17.656846010240184</v>
      </c>
      <c r="Q121" s="30">
        <f t="shared" si="15"/>
        <v>1.179998994</v>
      </c>
      <c r="R121" s="30">
        <f t="shared" si="16"/>
        <v>-4013.4438357463982</v>
      </c>
      <c r="S121" s="30">
        <f t="shared" si="17"/>
        <v>-2979.8304514742294</v>
      </c>
      <c r="T121" s="30">
        <f>S121/1000+'Начальные условия и парам.'!$M$21+'Начальные условия и парам.'!$K$19*'аксел-ры 1 и 2 и интегр-ие  '!Q121</f>
        <v>19.536231251811998</v>
      </c>
      <c r="V121" s="30">
        <f t="shared" si="18"/>
        <v>1.179998994</v>
      </c>
      <c r="W121" s="30">
        <f t="shared" si="19"/>
        <v>7723.6366215409998</v>
      </c>
      <c r="X121" s="30">
        <f t="shared" si="20"/>
        <v>5179.5389464064492</v>
      </c>
      <c r="Y121" s="30">
        <f>X121/1000+'Начальные условия и парам.'!$G$22+'Начальные условия и парам.'!$N$19*'аксел-ры 1 и 2 и интегр-ие  '!V121</f>
        <v>0.66021646090035269</v>
      </c>
      <c r="Z121" s="30">
        <f t="shared" si="21"/>
        <v>1.179998994</v>
      </c>
      <c r="AA121" s="30">
        <f t="shared" si="22"/>
        <v>7723.6366215409998</v>
      </c>
      <c r="AB121" s="30">
        <f t="shared" si="23"/>
        <v>5179.5389464064492</v>
      </c>
      <c r="AC121" s="30">
        <f>AB121/1000+'Начальные условия и парам.'!$M$22+'Начальные условия и парам.'!$N$19*'аксел-ры 1 и 2 и интегр-ие  '!Z121</f>
        <v>-2.3823825750985073E-2</v>
      </c>
    </row>
    <row r="122" spans="1:29" x14ac:dyDescent="0.25">
      <c r="A122" s="12">
        <v>1.189998865</v>
      </c>
      <c r="B122" s="12">
        <v>-2918.2304690000001</v>
      </c>
      <c r="C122" s="26"/>
      <c r="D122" s="12">
        <v>1.189998865</v>
      </c>
      <c r="E122" s="12">
        <v>4964.3344729999999</v>
      </c>
      <c r="F122" s="28"/>
      <c r="G122" s="12">
        <v>1.189998865</v>
      </c>
      <c r="H122" s="12">
        <v>-2918.2304690000001</v>
      </c>
      <c r="I122" s="26"/>
      <c r="J122" s="12">
        <v>1.189998865</v>
      </c>
      <c r="K122" s="12">
        <v>4964.3344729999999</v>
      </c>
      <c r="M122" s="30">
        <f t="shared" si="12"/>
        <v>1.189998865</v>
      </c>
      <c r="N122" s="30">
        <f t="shared" si="13"/>
        <v>-4037.8973831113981</v>
      </c>
      <c r="O122" s="30">
        <f t="shared" si="14"/>
        <v>-3020.0871575685183</v>
      </c>
      <c r="P122" s="30">
        <f>O122/1000+'Начальные условия и парам.'!$G$21+'Начальные условия и парам.'!$K$19*'аксел-ры 1 и 2 и интегр-ие  '!M122</f>
        <v>17.791474285857905</v>
      </c>
      <c r="Q122" s="30">
        <f t="shared" si="15"/>
        <v>1.189998865</v>
      </c>
      <c r="R122" s="30">
        <f t="shared" si="16"/>
        <v>-4037.8973831113981</v>
      </c>
      <c r="S122" s="30">
        <f t="shared" si="17"/>
        <v>-3020.0871575685183</v>
      </c>
      <c r="T122" s="30">
        <f>S122/1000+'Начальные условия и парам.'!$M$21+'Начальные условия и парам.'!$K$19*'аксел-ры 1 и 2 и интегр-ие  '!Q122</f>
        <v>19.670859527429723</v>
      </c>
      <c r="V122" s="30">
        <f t="shared" si="18"/>
        <v>1.189998865</v>
      </c>
      <c r="W122" s="30">
        <f t="shared" si="19"/>
        <v>7861.1776493560001</v>
      </c>
      <c r="X122" s="30">
        <f t="shared" si="20"/>
        <v>5257.4630177609342</v>
      </c>
      <c r="Y122" s="30">
        <f>X122/1000+'Начальные условия и парам.'!$G$22+'Начальные условия и парам.'!$N$19*'аксел-ры 1 и 2 и интегр-ие  '!V122</f>
        <v>0.6744876044914756</v>
      </c>
      <c r="Z122" s="30">
        <f t="shared" si="21"/>
        <v>1.189998865</v>
      </c>
      <c r="AA122" s="30">
        <f t="shared" si="22"/>
        <v>7861.1776493560001</v>
      </c>
      <c r="AB122" s="30">
        <f t="shared" si="23"/>
        <v>5257.4630177609342</v>
      </c>
      <c r="AC122" s="30">
        <f>AB122/1000+'Начальные условия и парам.'!$M$22+'Начальные условия и парам.'!$N$19*'аксел-ры 1 и 2 и интегр-ие  '!Z122</f>
        <v>-9.5526821598612699E-3</v>
      </c>
    </row>
    <row r="123" spans="1:29" x14ac:dyDescent="0.25">
      <c r="A123" s="12">
        <v>1.1999992129999999</v>
      </c>
      <c r="B123" s="12">
        <v>-5060.5625</v>
      </c>
      <c r="C123" s="26"/>
      <c r="D123" s="12">
        <v>1.1999992129999999</v>
      </c>
      <c r="E123" s="12">
        <v>-4749.0048829999996</v>
      </c>
      <c r="F123" s="28"/>
      <c r="G123" s="12">
        <v>1.1999992129999999</v>
      </c>
      <c r="H123" s="12">
        <v>-5060.5625</v>
      </c>
      <c r="I123" s="26"/>
      <c r="J123" s="12">
        <v>1.1999992129999999</v>
      </c>
      <c r="K123" s="12">
        <v>-4749.0048829999996</v>
      </c>
      <c r="M123" s="30">
        <f t="shared" si="12"/>
        <v>1.1999992129999999</v>
      </c>
      <c r="N123" s="30">
        <f t="shared" si="13"/>
        <v>-4077.7913479563981</v>
      </c>
      <c r="O123" s="30">
        <f t="shared" si="14"/>
        <v>-3060.6656012238573</v>
      </c>
      <c r="P123" s="30">
        <f>O123/1000+'Начальные условия и парам.'!$G$21+'Начальные условия и парам.'!$K$19*'аксел-ры 1 и 2 и интегр-ие  '!M123</f>
        <v>17.925789166035816</v>
      </c>
      <c r="Q123" s="30">
        <f t="shared" si="15"/>
        <v>1.1999992129999999</v>
      </c>
      <c r="R123" s="30">
        <f t="shared" si="16"/>
        <v>-4077.7913479563981</v>
      </c>
      <c r="S123" s="30">
        <f t="shared" si="17"/>
        <v>-3060.6656012238573</v>
      </c>
      <c r="T123" s="30">
        <f>S123/1000+'Начальные условия и парам.'!$M$21+'Начальные условия и парам.'!$K$19*'аксел-ры 1 и 2 и интегр-ие  '!Q123</f>
        <v>19.805174407607634</v>
      </c>
      <c r="V123" s="30">
        <f t="shared" si="18"/>
        <v>1.1999992129999999</v>
      </c>
      <c r="W123" s="30">
        <f t="shared" si="19"/>
        <v>7862.2542973059999</v>
      </c>
      <c r="X123" s="30">
        <f t="shared" si="20"/>
        <v>5336.0801774942438</v>
      </c>
      <c r="Y123" s="30">
        <f>X123/1000+'Начальные условия и парам.'!$G$22+'Начальные условия и парам.'!$N$19*'аксел-ры 1 и 2 и интегр-ие  '!V123</f>
        <v>0.68944880017760379</v>
      </c>
      <c r="Z123" s="30">
        <f t="shared" si="21"/>
        <v>1.1999992129999999</v>
      </c>
      <c r="AA123" s="30">
        <f t="shared" si="22"/>
        <v>7862.2542973059999</v>
      </c>
      <c r="AB123" s="30">
        <f t="shared" si="23"/>
        <v>5336.0801774942438</v>
      </c>
      <c r="AC123" s="30">
        <f>AB123/1000+'Начальные условия и парам.'!$M$22+'Начальные условия и парам.'!$N$19*'аксел-ры 1 и 2 и интегр-ие  '!Z123</f>
        <v>5.4085135262660344E-3</v>
      </c>
    </row>
    <row r="124" spans="1:29" x14ac:dyDescent="0.25">
      <c r="A124" s="12">
        <v>1.209999085</v>
      </c>
      <c r="B124" s="12">
        <v>-5238.2124020000001</v>
      </c>
      <c r="C124" s="26"/>
      <c r="D124" s="12">
        <v>1.209999085</v>
      </c>
      <c r="E124" s="12">
        <v>2816.4060060000002</v>
      </c>
      <c r="F124" s="28"/>
      <c r="G124" s="12">
        <v>1.209999085</v>
      </c>
      <c r="H124" s="12">
        <v>-5238.2124020000001</v>
      </c>
      <c r="I124" s="26"/>
      <c r="J124" s="12">
        <v>1.209999085</v>
      </c>
      <c r="K124" s="12">
        <v>2816.4060060000002</v>
      </c>
      <c r="M124" s="30">
        <f t="shared" si="12"/>
        <v>1.209999085</v>
      </c>
      <c r="N124" s="30">
        <f t="shared" si="13"/>
        <v>-4129.2852224663984</v>
      </c>
      <c r="O124" s="30">
        <f t="shared" si="14"/>
        <v>-3101.7009840759711</v>
      </c>
      <c r="P124" s="30">
        <f>O124/1000+'Начальные условия и парам.'!$G$21+'Начальные условия и парам.'!$K$19*'аксел-ры 1 и 2 и интегр-ие  '!M124</f>
        <v>18.059638782384436</v>
      </c>
      <c r="Q124" s="30">
        <f t="shared" si="15"/>
        <v>1.209999085</v>
      </c>
      <c r="R124" s="30">
        <f t="shared" si="16"/>
        <v>-4129.2852224663984</v>
      </c>
      <c r="S124" s="30">
        <f t="shared" si="17"/>
        <v>-3101.7009840759711</v>
      </c>
      <c r="T124" s="30">
        <f>S124/1000+'Начальные условия и парам.'!$M$21+'Начальные условия и парам.'!$K$19*'аксел-ры 1 и 2 и интегр-ие  '!Q124</f>
        <v>19.939024023956254</v>
      </c>
      <c r="V124" s="30">
        <f t="shared" si="18"/>
        <v>1.209999085</v>
      </c>
      <c r="W124" s="30">
        <f t="shared" si="19"/>
        <v>7852.5913029209996</v>
      </c>
      <c r="X124" s="30">
        <f t="shared" si="20"/>
        <v>5414.6544054953793</v>
      </c>
      <c r="Y124" s="30">
        <f>X124/1000+'Начальные условия и парам.'!$G$22+'Начальные условия и парам.'!$N$19*'аксел-ры 1 и 2 и интегр-ие  '!V124</f>
        <v>0.70437009405000151</v>
      </c>
      <c r="Z124" s="30">
        <f t="shared" si="21"/>
        <v>1.209999085</v>
      </c>
      <c r="AA124" s="30">
        <f t="shared" si="22"/>
        <v>7852.5913029209996</v>
      </c>
      <c r="AB124" s="30">
        <f t="shared" si="23"/>
        <v>5414.6544054953793</v>
      </c>
      <c r="AC124" s="30">
        <f>AB124/1000+'Начальные условия и парам.'!$M$22+'Начальные условия и парам.'!$N$19*'аксел-ры 1 и 2 и интегр-ие  '!Z124</f>
        <v>2.0329807398664634E-2</v>
      </c>
    </row>
    <row r="125" spans="1:29" x14ac:dyDescent="0.25">
      <c r="A125" s="12">
        <v>1.219998956</v>
      </c>
      <c r="B125" s="12">
        <v>-67.636932369999997</v>
      </c>
      <c r="C125" s="26"/>
      <c r="D125" s="12">
        <v>1.219998956</v>
      </c>
      <c r="E125" s="12">
        <v>5640.0561520000001</v>
      </c>
      <c r="F125" s="28"/>
      <c r="G125" s="12">
        <v>1.219998956</v>
      </c>
      <c r="H125" s="12">
        <v>-67.636932369999997</v>
      </c>
      <c r="I125" s="26"/>
      <c r="J125" s="12">
        <v>1.219998956</v>
      </c>
      <c r="K125" s="12">
        <v>5640.0561520000001</v>
      </c>
      <c r="M125" s="30">
        <f t="shared" si="12"/>
        <v>1.219998956</v>
      </c>
      <c r="N125" s="30">
        <f t="shared" si="13"/>
        <v>-4155.8144691382486</v>
      </c>
      <c r="O125" s="30">
        <f t="shared" si="14"/>
        <v>-3143.1264825339945</v>
      </c>
      <c r="P125" s="30">
        <f>O125/1000+'Начальные условия и парам.'!$G$21+'Начальные условия и парам.'!$K$19*'аксел-ры 1 и 2 и интегр-ие  '!M125</f>
        <v>18.193098265638426</v>
      </c>
      <c r="Q125" s="30">
        <f t="shared" si="15"/>
        <v>1.219998956</v>
      </c>
      <c r="R125" s="30">
        <f t="shared" si="16"/>
        <v>-4155.8144691382486</v>
      </c>
      <c r="S125" s="30">
        <f t="shared" si="17"/>
        <v>-3143.1264825339945</v>
      </c>
      <c r="T125" s="30">
        <f>S125/1000+'Начальные условия и парам.'!$M$21+'Начальные условия и парам.'!$K$19*'аксел-ры 1 и 2 и интегр-ие  '!Q125</f>
        <v>20.072483507210244</v>
      </c>
      <c r="V125" s="30">
        <f t="shared" si="18"/>
        <v>1.219998956</v>
      </c>
      <c r="W125" s="30">
        <f t="shared" si="19"/>
        <v>7894.873613711</v>
      </c>
      <c r="X125" s="30">
        <f t="shared" si="20"/>
        <v>5493.3917300785397</v>
      </c>
      <c r="Y125" s="30">
        <f>X125/1000+'Начальные условия и парам.'!$G$22+'Начальные условия и парам.'!$N$19*'аксел-ры 1 и 2 и интегр-ие  '!V125</f>
        <v>0.71945449086980151</v>
      </c>
      <c r="Z125" s="30">
        <f t="shared" si="21"/>
        <v>1.219998956</v>
      </c>
      <c r="AA125" s="30">
        <f t="shared" si="22"/>
        <v>7894.873613711</v>
      </c>
      <c r="AB125" s="30">
        <f t="shared" si="23"/>
        <v>5493.3917300785397</v>
      </c>
      <c r="AC125" s="30">
        <f>AB125/1000+'Начальные условия и парам.'!$M$22+'Начальные условия и парам.'!$N$19*'аксел-ры 1 и 2 и интегр-ие  '!Z125</f>
        <v>3.541420421846464E-2</v>
      </c>
    </row>
    <row r="126" spans="1:29" x14ac:dyDescent="0.25">
      <c r="A126" s="12">
        <v>1.229998827</v>
      </c>
      <c r="B126" s="12">
        <v>5426.810547</v>
      </c>
      <c r="C126" s="26"/>
      <c r="D126" s="12">
        <v>1.229998827</v>
      </c>
      <c r="E126" s="12">
        <v>-5116.5200199999999</v>
      </c>
      <c r="F126" s="28"/>
      <c r="G126" s="12">
        <v>1.229998827</v>
      </c>
      <c r="H126" s="12">
        <v>5426.810547</v>
      </c>
      <c r="I126" s="26"/>
      <c r="J126" s="12">
        <v>1.229998827</v>
      </c>
      <c r="K126" s="12">
        <v>-5116.5200199999999</v>
      </c>
      <c r="M126" s="30">
        <f t="shared" si="12"/>
        <v>1.229998827</v>
      </c>
      <c r="N126" s="30">
        <f t="shared" si="13"/>
        <v>-4129.0186010650987</v>
      </c>
      <c r="O126" s="30">
        <f t="shared" si="14"/>
        <v>-3184.5506478850111</v>
      </c>
      <c r="P126" s="30">
        <f>O126/1000+'Начальные условия и парам.'!$G$21+'Начальные условия и парам.'!$K$19*'аксел-ры 1 и 2 и интегр-ие  '!M126</f>
        <v>18.326559081999417</v>
      </c>
      <c r="Q126" s="30">
        <f t="shared" si="15"/>
        <v>1.229998827</v>
      </c>
      <c r="R126" s="30">
        <f t="shared" si="16"/>
        <v>-4129.0186010650987</v>
      </c>
      <c r="S126" s="30">
        <f t="shared" si="17"/>
        <v>-3184.5506478850111</v>
      </c>
      <c r="T126" s="30">
        <f>S126/1000+'Начальные условия и парам.'!$M$21+'Начальные условия и парам.'!$K$19*'аксел-ры 1 и 2 и интегр-ие  '!Q126</f>
        <v>20.205944323571234</v>
      </c>
      <c r="V126" s="30">
        <f t="shared" si="18"/>
        <v>1.229998827</v>
      </c>
      <c r="W126" s="30">
        <f t="shared" si="19"/>
        <v>7897.4912943709996</v>
      </c>
      <c r="X126" s="30">
        <f t="shared" si="20"/>
        <v>5572.3535546189496</v>
      </c>
      <c r="Y126" s="30">
        <f>X126/1000+'Начальные условия и парам.'!$G$22+'Начальные условия и парам.'!$N$19*'аксел-ры 1 и 2 и интегр-ие  '!V126</f>
        <v>0.73476338764685067</v>
      </c>
      <c r="Z126" s="30">
        <f t="shared" si="21"/>
        <v>1.229998827</v>
      </c>
      <c r="AA126" s="30">
        <f t="shared" si="22"/>
        <v>7897.4912943709996</v>
      </c>
      <c r="AB126" s="30">
        <f t="shared" si="23"/>
        <v>5572.3535546189496</v>
      </c>
      <c r="AC126" s="30">
        <f>AB126/1000+'Начальные условия и парам.'!$M$22+'Начальные условия и парам.'!$N$19*'аксел-ры 1 и 2 и интегр-ие  '!Z126</f>
        <v>5.0723100995512915E-2</v>
      </c>
    </row>
    <row r="127" spans="1:29" x14ac:dyDescent="0.25">
      <c r="A127" s="12">
        <v>1.2399991749999999</v>
      </c>
      <c r="B127" s="12">
        <v>5360.7373049999997</v>
      </c>
      <c r="C127" s="26"/>
      <c r="D127" s="12">
        <v>1.2399991749999999</v>
      </c>
      <c r="E127" s="12">
        <v>-13749.44629</v>
      </c>
      <c r="F127" s="28"/>
      <c r="G127" s="12">
        <v>1.2399991749999999</v>
      </c>
      <c r="H127" s="12">
        <v>5360.7373049999997</v>
      </c>
      <c r="I127" s="26"/>
      <c r="J127" s="12">
        <v>1.2399991749999999</v>
      </c>
      <c r="K127" s="12">
        <v>-13749.44629</v>
      </c>
      <c r="M127" s="30">
        <f t="shared" si="12"/>
        <v>1.2399991749999999</v>
      </c>
      <c r="N127" s="30">
        <f t="shared" si="13"/>
        <v>-4075.0808618050987</v>
      </c>
      <c r="O127" s="30">
        <f t="shared" si="14"/>
        <v>-3225.571145199362</v>
      </c>
      <c r="P127" s="30">
        <f>O127/1000+'Начальные условия и парам.'!$G$21+'Начальные условия и парам.'!$K$19*'аксел-ры 1 и 2 и интегр-ие  '!M127</f>
        <v>18.46043190851832</v>
      </c>
      <c r="Q127" s="30">
        <f t="shared" si="15"/>
        <v>1.2399991749999999</v>
      </c>
      <c r="R127" s="30">
        <f t="shared" si="16"/>
        <v>-4075.0808618050987</v>
      </c>
      <c r="S127" s="30">
        <f t="shared" si="17"/>
        <v>-3225.571145199362</v>
      </c>
      <c r="T127" s="30">
        <f>S127/1000+'Начальные условия и парам.'!$M$21+'Начальные условия и парам.'!$K$19*'аксел-ры 1 и 2 и интегр-ие  '!Q127</f>
        <v>20.339817150090134</v>
      </c>
      <c r="V127" s="30">
        <f t="shared" si="18"/>
        <v>1.2399991749999999</v>
      </c>
      <c r="W127" s="30">
        <f t="shared" si="19"/>
        <v>7803.161462821</v>
      </c>
      <c r="X127" s="30">
        <f t="shared" si="20"/>
        <v>5650.85681840491</v>
      </c>
      <c r="Y127" s="30">
        <f>X127/1000+'Начальные условия и парам.'!$G$22+'Начальные условия и парам.'!$N$19*'аксел-ры 1 и 2 и интегр-ие  '!V127</f>
        <v>0.74961068738562808</v>
      </c>
      <c r="Z127" s="30">
        <f t="shared" si="21"/>
        <v>1.2399991749999999</v>
      </c>
      <c r="AA127" s="30">
        <f t="shared" si="22"/>
        <v>7803.161462821</v>
      </c>
      <c r="AB127" s="30">
        <f t="shared" si="23"/>
        <v>5650.85681840491</v>
      </c>
      <c r="AC127" s="30">
        <f>AB127/1000+'Начальные условия и парам.'!$M$22+'Начальные условия и парам.'!$N$19*'аксел-ры 1 и 2 и интегр-ие  '!Z127</f>
        <v>6.5570400734291212E-2</v>
      </c>
    </row>
    <row r="128" spans="1:29" x14ac:dyDescent="0.25">
      <c r="A128" s="12">
        <v>1.2499990459999999</v>
      </c>
      <c r="B128" s="12">
        <v>1651.0242920000001</v>
      </c>
      <c r="C128" s="26"/>
      <c r="D128" s="12">
        <v>1.2499990459999999</v>
      </c>
      <c r="E128" s="12">
        <v>-11266.452149999999</v>
      </c>
      <c r="F128" s="28"/>
      <c r="G128" s="12">
        <v>1.2499990459999999</v>
      </c>
      <c r="H128" s="12">
        <v>1651.0242920000001</v>
      </c>
      <c r="I128" s="26"/>
      <c r="J128" s="12">
        <v>1.2499990459999999</v>
      </c>
      <c r="K128" s="12">
        <v>-11266.452149999999</v>
      </c>
      <c r="M128" s="30">
        <f t="shared" si="12"/>
        <v>1.2499990459999999</v>
      </c>
      <c r="N128" s="30">
        <f t="shared" si="13"/>
        <v>-4040.0220538200988</v>
      </c>
      <c r="O128" s="30">
        <f t="shared" si="14"/>
        <v>-3266.1466597774879</v>
      </c>
      <c r="P128" s="30">
        <f>O128/1000+'Начальные условия и парам.'!$G$21+'Начальные условия и парам.'!$K$19*'аксел-ры 1 и 2 и интегр-ие  '!M128</f>
        <v>18.594741375652202</v>
      </c>
      <c r="Q128" s="30">
        <f t="shared" si="15"/>
        <v>1.2499990459999999</v>
      </c>
      <c r="R128" s="30">
        <f t="shared" si="16"/>
        <v>-4040.0220538200988</v>
      </c>
      <c r="S128" s="30">
        <f t="shared" si="17"/>
        <v>-3266.1466597774879</v>
      </c>
      <c r="T128" s="30">
        <f>S128/1000+'Начальные условия и парам.'!$M$21+'Начальные условия и парам.'!$K$19*'аксел-ры 1 и 2 и интегр-ие  '!Q128</f>
        <v>20.474126617224016</v>
      </c>
      <c r="V128" s="30">
        <f t="shared" si="18"/>
        <v>1.2499990459999999</v>
      </c>
      <c r="W128" s="30">
        <f t="shared" si="19"/>
        <v>7678.0819706210004</v>
      </c>
      <c r="X128" s="30">
        <f t="shared" si="20"/>
        <v>5728.2630355721203</v>
      </c>
      <c r="Y128" s="30">
        <f>X128/1000+'Начальные условия и парам.'!$G$22+'Начальные условия и парам.'!$N$19*'аксел-ры 1 и 2 и интегр-ие  '!V128</f>
        <v>0.76336397678947776</v>
      </c>
      <c r="Z128" s="30">
        <f t="shared" si="21"/>
        <v>1.2499990459999999</v>
      </c>
      <c r="AA128" s="30">
        <f t="shared" si="22"/>
        <v>7678.0819706210004</v>
      </c>
      <c r="AB128" s="30">
        <f t="shared" si="23"/>
        <v>5728.2630355721203</v>
      </c>
      <c r="AC128" s="30">
        <f>AB128/1000+'Начальные условия и парам.'!$M$22+'Начальные условия и парам.'!$N$19*'аксел-ры 1 и 2 и интегр-ие  '!Z128</f>
        <v>7.932369013814089E-2</v>
      </c>
    </row>
    <row r="129" spans="1:29" x14ac:dyDescent="0.25">
      <c r="A129" s="12">
        <v>1.259998918</v>
      </c>
      <c r="B129" s="12">
        <v>-1760.122803</v>
      </c>
      <c r="C129" s="26"/>
      <c r="D129" s="12">
        <v>1.259998918</v>
      </c>
      <c r="E129" s="12">
        <v>-1580.9785159999999</v>
      </c>
      <c r="F129" s="28"/>
      <c r="G129" s="12">
        <v>1.259998918</v>
      </c>
      <c r="H129" s="12">
        <v>-1760.122803</v>
      </c>
      <c r="I129" s="26"/>
      <c r="J129" s="12">
        <v>1.259998918</v>
      </c>
      <c r="K129" s="12">
        <v>-1580.9785159999999</v>
      </c>
      <c r="M129" s="30">
        <f t="shared" si="12"/>
        <v>1.259998918</v>
      </c>
      <c r="N129" s="30">
        <f t="shared" si="13"/>
        <v>-4040.5675463750986</v>
      </c>
      <c r="O129" s="30">
        <f t="shared" si="14"/>
        <v>-3306.5496077784637</v>
      </c>
      <c r="P129" s="30">
        <f>O129/1000+'Начальные условия и парам.'!$G$21+'Начальные условия и парам.'!$K$19*'аксел-ры 1 и 2 и интегр-ие  '!M129</f>
        <v>18.729223426851959</v>
      </c>
      <c r="Q129" s="30">
        <f t="shared" si="15"/>
        <v>1.259998918</v>
      </c>
      <c r="R129" s="30">
        <f t="shared" si="16"/>
        <v>-4040.5675463750986</v>
      </c>
      <c r="S129" s="30">
        <f t="shared" si="17"/>
        <v>-3306.5496077784637</v>
      </c>
      <c r="T129" s="30">
        <f>S129/1000+'Начальные условия и парам.'!$M$21+'Начальные условия и парам.'!$K$19*'аксел-ры 1 и 2 и интегр-ие  '!Q129</f>
        <v>20.608608668423777</v>
      </c>
      <c r="V129" s="30">
        <f t="shared" si="18"/>
        <v>1.259998918</v>
      </c>
      <c r="W129" s="30">
        <f t="shared" si="19"/>
        <v>7613.8448172910003</v>
      </c>
      <c r="X129" s="30">
        <f t="shared" si="20"/>
        <v>5804.7226695116806</v>
      </c>
      <c r="Y129" s="30">
        <f>X129/1000+'Начальные условия и парам.'!$G$22+'Начальные условия и парам.'!$N$19*'аксел-ры 1 и 2 и интегр-ие  '!V129</f>
        <v>0.77617067660030159</v>
      </c>
      <c r="Z129" s="30">
        <f t="shared" si="21"/>
        <v>1.259998918</v>
      </c>
      <c r="AA129" s="30">
        <f t="shared" si="22"/>
        <v>7613.8448172910003</v>
      </c>
      <c r="AB129" s="30">
        <f t="shared" si="23"/>
        <v>5804.7226695116806</v>
      </c>
      <c r="AC129" s="30">
        <f>AB129/1000+'Начальные условия и парам.'!$M$22+'Начальные условия и парам.'!$N$19*'аксел-ры 1 и 2 и интегр-ие  '!Z129</f>
        <v>9.2130389948964719E-2</v>
      </c>
    </row>
    <row r="130" spans="1:29" x14ac:dyDescent="0.25">
      <c r="A130" s="12">
        <v>1.269998789</v>
      </c>
      <c r="B130" s="12">
        <v>-3412.5795899999998</v>
      </c>
      <c r="C130" s="26"/>
      <c r="D130" s="12">
        <v>1.269998789</v>
      </c>
      <c r="E130" s="12">
        <v>10393.54883</v>
      </c>
      <c r="F130" s="28"/>
      <c r="G130" s="12">
        <v>1.269998789</v>
      </c>
      <c r="H130" s="12">
        <v>-3412.5795899999998</v>
      </c>
      <c r="I130" s="26"/>
      <c r="J130" s="12">
        <v>1.269998789</v>
      </c>
      <c r="K130" s="12">
        <v>10393.54883</v>
      </c>
      <c r="M130" s="30">
        <f t="shared" si="12"/>
        <v>1.269998789</v>
      </c>
      <c r="N130" s="30">
        <f t="shared" si="13"/>
        <v>-4066.4310583400984</v>
      </c>
      <c r="O130" s="30">
        <f t="shared" si="14"/>
        <v>-3347.0846008020399</v>
      </c>
      <c r="P130" s="30">
        <f>O130/1000+'Начальные условия и парам.'!$G$21+'Начальные условия и парам.'!$K$19*'аксел-ры 1 и 2 и интегр-ие  '!M130</f>
        <v>18.863573415540394</v>
      </c>
      <c r="Q130" s="30">
        <f t="shared" si="15"/>
        <v>1.269998789</v>
      </c>
      <c r="R130" s="30">
        <f t="shared" si="16"/>
        <v>-4066.4310583400984</v>
      </c>
      <c r="S130" s="30">
        <f t="shared" si="17"/>
        <v>-3347.0846008020399</v>
      </c>
      <c r="T130" s="30">
        <f>S130/1000+'Начальные условия и парам.'!$M$21+'Начальные условия и парам.'!$K$19*'аксел-ры 1 и 2 и интегр-ие  '!Q130</f>
        <v>20.742958657112212</v>
      </c>
      <c r="V130" s="30">
        <f t="shared" si="18"/>
        <v>1.269998789</v>
      </c>
      <c r="W130" s="30">
        <f t="shared" si="19"/>
        <v>7657.9076688610003</v>
      </c>
      <c r="X130" s="30">
        <f t="shared" si="20"/>
        <v>5881.0814319424408</v>
      </c>
      <c r="Y130" s="30">
        <f>X130/1000+'Начальные условия и парам.'!$G$22+'Начальные условия и парам.'!$N$19*'аксел-ры 1 и 2 и интегр-ие  '!V130</f>
        <v>0.78887651126770209</v>
      </c>
      <c r="Z130" s="30">
        <f t="shared" si="21"/>
        <v>1.269998789</v>
      </c>
      <c r="AA130" s="30">
        <f t="shared" si="22"/>
        <v>7657.9076688610003</v>
      </c>
      <c r="AB130" s="30">
        <f t="shared" si="23"/>
        <v>5881.0814319424408</v>
      </c>
      <c r="AC130" s="30">
        <f>AB130/1000+'Начальные условия и парам.'!$M$22+'Начальные условия и парам.'!$N$19*'аксел-ры 1 и 2 и интегр-ие  '!Z130</f>
        <v>0.10483622461636344</v>
      </c>
    </row>
    <row r="131" spans="1:29" x14ac:dyDescent="0.25">
      <c r="A131" s="12">
        <v>1.2799991369999999</v>
      </c>
      <c r="B131" s="12">
        <v>-3484.2687989999999</v>
      </c>
      <c r="C131" s="26"/>
      <c r="D131" s="12">
        <v>1.2799991369999999</v>
      </c>
      <c r="E131" s="12">
        <v>17202.166020000001</v>
      </c>
      <c r="F131" s="28"/>
      <c r="G131" s="12">
        <v>1.2799991369999999</v>
      </c>
      <c r="H131" s="12">
        <v>-3484.2687989999999</v>
      </c>
      <c r="I131" s="26"/>
      <c r="J131" s="12">
        <v>1.2799991369999999</v>
      </c>
      <c r="K131" s="12">
        <v>17202.166020000001</v>
      </c>
      <c r="M131" s="30">
        <f t="shared" si="12"/>
        <v>1.2799991369999999</v>
      </c>
      <c r="N131" s="30">
        <f t="shared" si="13"/>
        <v>-4100.9153002850981</v>
      </c>
      <c r="O131" s="30">
        <f t="shared" si="14"/>
        <v>-3387.9213325951659</v>
      </c>
      <c r="P131" s="30">
        <f>O131/1000+'Начальные условия и парам.'!$G$21+'Начальные условия и парам.'!$K$19*'аксел-ры 1 и 2 и интегр-ие  '!M131</f>
        <v>18.997630007580518</v>
      </c>
      <c r="Q131" s="30">
        <f t="shared" si="15"/>
        <v>1.2799991369999999</v>
      </c>
      <c r="R131" s="30">
        <f t="shared" si="16"/>
        <v>-4100.9153002850981</v>
      </c>
      <c r="S131" s="30">
        <f t="shared" si="17"/>
        <v>-3387.9213325951659</v>
      </c>
      <c r="T131" s="30">
        <f>S131/1000+'Начальные условия и парам.'!$M$21+'Начальные условия и парам.'!$K$19*'аксел-ры 1 и 2 и интегр-ие  '!Q131</f>
        <v>20.877015249152336</v>
      </c>
      <c r="V131" s="30">
        <f t="shared" si="18"/>
        <v>1.2799991369999999</v>
      </c>
      <c r="W131" s="30">
        <f t="shared" si="19"/>
        <v>7795.8862431110001</v>
      </c>
      <c r="X131" s="30">
        <f t="shared" si="20"/>
        <v>5958.3504015023009</v>
      </c>
      <c r="Y131" s="30">
        <f>X131/1000+'Начальные условия и парам.'!$G$22+'Начальные условия и парам.'!$N$19*'аксел-ры 1 и 2 и интегр-ие  '!V131</f>
        <v>0.80248951678037805</v>
      </c>
      <c r="Z131" s="30">
        <f t="shared" si="21"/>
        <v>1.2799991369999999</v>
      </c>
      <c r="AA131" s="30">
        <f t="shared" si="22"/>
        <v>7795.8862431110001</v>
      </c>
      <c r="AB131" s="30">
        <f t="shared" si="23"/>
        <v>5958.3504015023009</v>
      </c>
      <c r="AC131" s="30">
        <f>AB131/1000+'Начальные условия и парам.'!$M$22+'Начальные условия и парам.'!$N$19*'аксел-ры 1 и 2 и интегр-ие  '!Z131</f>
        <v>0.11844923012903941</v>
      </c>
    </row>
    <row r="132" spans="1:29" x14ac:dyDescent="0.25">
      <c r="A132" s="12">
        <v>1.2899990079999999</v>
      </c>
      <c r="B132" s="12">
        <v>-4005.561768</v>
      </c>
      <c r="C132" s="26"/>
      <c r="D132" s="12">
        <v>1.2899990079999999</v>
      </c>
      <c r="E132" s="12">
        <v>13942.08887</v>
      </c>
      <c r="F132" s="28"/>
      <c r="G132" s="12">
        <v>1.2899990079999999</v>
      </c>
      <c r="H132" s="12">
        <v>-4005.561768</v>
      </c>
      <c r="I132" s="26"/>
      <c r="J132" s="12">
        <v>1.2899990079999999</v>
      </c>
      <c r="K132" s="12">
        <v>13942.08887</v>
      </c>
      <c r="M132" s="30">
        <f t="shared" si="12"/>
        <v>1.2899990079999999</v>
      </c>
      <c r="N132" s="30">
        <f t="shared" si="13"/>
        <v>-4138.364453120098</v>
      </c>
      <c r="O132" s="30">
        <f t="shared" si="14"/>
        <v>-3429.117731362192</v>
      </c>
      <c r="P132" s="30">
        <f>O132/1000+'Начальные условия и парам.'!$G$21+'Начальные условия и парам.'!$K$19*'аксел-ры 1 и 2 и интегр-ие  '!M132</f>
        <v>19.131318590525503</v>
      </c>
      <c r="Q132" s="30">
        <f t="shared" si="15"/>
        <v>1.2899990079999999</v>
      </c>
      <c r="R132" s="30">
        <f t="shared" si="16"/>
        <v>-4138.364453120098</v>
      </c>
      <c r="S132" s="30">
        <f t="shared" si="17"/>
        <v>-3429.117731362192</v>
      </c>
      <c r="T132" s="30">
        <f>S132/1000+'Начальные условия и парам.'!$M$21+'Начальные условия и парам.'!$K$19*'аксел-ры 1 и 2 и интегр-ие  '!Q132</f>
        <v>21.01070383209732</v>
      </c>
      <c r="V132" s="30">
        <f t="shared" si="18"/>
        <v>1.2899990079999999</v>
      </c>
      <c r="W132" s="30">
        <f t="shared" si="19"/>
        <v>7951.6075175610003</v>
      </c>
      <c r="X132" s="30">
        <f t="shared" si="20"/>
        <v>6037.0878703056605</v>
      </c>
      <c r="Y132" s="30">
        <f>X132/1000+'Начальные условия и парам.'!$G$22+'Начальные условия и парам.'!$N$19*'аксел-ры 1 и 2 и интегр-ие  '!V132</f>
        <v>0.81757405782037651</v>
      </c>
      <c r="Z132" s="30">
        <f t="shared" si="21"/>
        <v>1.2899990079999999</v>
      </c>
      <c r="AA132" s="30">
        <f t="shared" si="22"/>
        <v>7951.6075175610003</v>
      </c>
      <c r="AB132" s="30">
        <f t="shared" si="23"/>
        <v>6037.0878703056605</v>
      </c>
      <c r="AC132" s="30">
        <f>AB132/1000+'Начальные условия и парам.'!$M$22+'Начальные условия и парам.'!$N$19*'аксел-ры 1 и 2 и интегр-ие  '!Z132</f>
        <v>0.13353377116903964</v>
      </c>
    </row>
    <row r="133" spans="1:29" x14ac:dyDescent="0.25">
      <c r="A133" s="12">
        <v>1.2999988790000001</v>
      </c>
      <c r="B133" s="12">
        <v>-3573.2929690000001</v>
      </c>
      <c r="C133" s="26"/>
      <c r="D133" s="12">
        <v>1.2999988790000001</v>
      </c>
      <c r="E133" s="12">
        <v>6990.6025390000004</v>
      </c>
      <c r="F133" s="28"/>
      <c r="G133" s="12">
        <v>1.2999988790000001</v>
      </c>
      <c r="H133" s="12">
        <v>-3573.2929690000001</v>
      </c>
      <c r="I133" s="26"/>
      <c r="J133" s="12">
        <v>1.2999988790000001</v>
      </c>
      <c r="K133" s="12">
        <v>6990.6025390000004</v>
      </c>
      <c r="M133" s="30">
        <f t="shared" si="12"/>
        <v>1.2999988790000001</v>
      </c>
      <c r="N133" s="30">
        <f t="shared" si="13"/>
        <v>-4176.2587268050984</v>
      </c>
      <c r="O133" s="30">
        <f t="shared" si="14"/>
        <v>-3470.6908472618179</v>
      </c>
      <c r="P133" s="30">
        <f>O133/1000+'Начальные условия и парам.'!$G$21+'Начальные условия и парам.'!$K$19*'аксел-ры 1 и 2 и интегр-ие  '!M133</f>
        <v>19.264630456337894</v>
      </c>
      <c r="Q133" s="30">
        <f t="shared" si="15"/>
        <v>1.2999988790000001</v>
      </c>
      <c r="R133" s="30">
        <f t="shared" si="16"/>
        <v>-4176.2587268050984</v>
      </c>
      <c r="S133" s="30">
        <f t="shared" si="17"/>
        <v>-3470.6908472618179</v>
      </c>
      <c r="T133" s="30">
        <f>S133/1000+'Начальные условия и парам.'!$M$21+'Начальные условия и парам.'!$K$19*'аксел-ры 1 и 2 и интегр-ие  '!Q133</f>
        <v>21.144015697909712</v>
      </c>
      <c r="V133" s="30">
        <f t="shared" si="18"/>
        <v>1.2999988790000001</v>
      </c>
      <c r="W133" s="30">
        <f t="shared" si="19"/>
        <v>8056.270974606</v>
      </c>
      <c r="X133" s="30">
        <f t="shared" si="20"/>
        <v>6117.1272627664957</v>
      </c>
      <c r="Y133" s="30">
        <f>X133/1000+'Начальные условия и парам.'!$G$22+'Начальные условия и парам.'!$N$19*'аксел-ры 1 и 2 и интегр-ие  '!V133</f>
        <v>0.8339605225178488</v>
      </c>
      <c r="Z133" s="30">
        <f t="shared" si="21"/>
        <v>1.2999988790000001</v>
      </c>
      <c r="AA133" s="30">
        <f t="shared" si="22"/>
        <v>8056.270974606</v>
      </c>
      <c r="AB133" s="30">
        <f t="shared" si="23"/>
        <v>6117.1272627664957</v>
      </c>
      <c r="AC133" s="30">
        <f>AB133/1000+'Начальные условия и парам.'!$M$22+'Начальные условия и парам.'!$N$19*'аксел-ры 1 и 2 и интегр-ие  '!Z133</f>
        <v>0.14992023586651193</v>
      </c>
    </row>
    <row r="134" spans="1:29" x14ac:dyDescent="0.25">
      <c r="A134" s="12">
        <v>1.309998751</v>
      </c>
      <c r="B134" s="12">
        <v>1825.44812</v>
      </c>
      <c r="C134" s="26"/>
      <c r="D134" s="12">
        <v>1.309998751</v>
      </c>
      <c r="E134" s="12">
        <v>2685.3647460000002</v>
      </c>
      <c r="F134" s="28"/>
      <c r="G134" s="12">
        <v>1.309998751</v>
      </c>
      <c r="H134" s="12">
        <v>1825.44812</v>
      </c>
      <c r="I134" s="26"/>
      <c r="J134" s="12">
        <v>1.309998751</v>
      </c>
      <c r="K134" s="12">
        <v>2685.3647460000002</v>
      </c>
      <c r="M134" s="30">
        <f t="shared" si="12"/>
        <v>1.309998751</v>
      </c>
      <c r="N134" s="30">
        <f t="shared" si="13"/>
        <v>-4184.997951050098</v>
      </c>
      <c r="O134" s="30">
        <f t="shared" si="14"/>
        <v>-3512.4971306510938</v>
      </c>
      <c r="P134" s="30">
        <f>O134/1000+'Начальные условия и парам.'!$G$21+'Начальные условия и парам.'!$K$19*'аксел-ры 1 и 2 и интегр-ие  '!M134</f>
        <v>19.397709172149348</v>
      </c>
      <c r="Q134" s="30">
        <f t="shared" si="15"/>
        <v>1.309998751</v>
      </c>
      <c r="R134" s="30">
        <f t="shared" si="16"/>
        <v>-4184.997951050098</v>
      </c>
      <c r="S134" s="30">
        <f t="shared" si="17"/>
        <v>-3512.4971306510938</v>
      </c>
      <c r="T134" s="30">
        <f>S134/1000+'Начальные условия и парам.'!$M$21+'Начальные условия и парам.'!$K$19*'аксел-ры 1 и 2 и интегр-ие  '!Q134</f>
        <v>21.277094413721166</v>
      </c>
      <c r="V134" s="30">
        <f t="shared" si="18"/>
        <v>1.309998751</v>
      </c>
      <c r="W134" s="30">
        <f t="shared" si="19"/>
        <v>8104.6508110309996</v>
      </c>
      <c r="X134" s="30">
        <f t="shared" si="20"/>
        <v>6197.9318716946809</v>
      </c>
      <c r="Y134" s="30">
        <f>X134/1000+'Начальные условия и парам.'!$G$22+'Начальные условия и парам.'!$N$19*'аксел-ры 1 и 2 и интегр-ие  '!V134</f>
        <v>0.85111219731729904</v>
      </c>
      <c r="Z134" s="30">
        <f t="shared" si="21"/>
        <v>1.309998751</v>
      </c>
      <c r="AA134" s="30">
        <f t="shared" si="22"/>
        <v>8104.6508110309996</v>
      </c>
      <c r="AB134" s="30">
        <f t="shared" si="23"/>
        <v>6197.9318716946809</v>
      </c>
      <c r="AC134" s="30">
        <f>AB134/1000+'Начальные условия и парам.'!$M$22+'Начальные условия и парам.'!$N$19*'аксел-ры 1 и 2 и интегр-ие  '!Z134</f>
        <v>0.16707191066596216</v>
      </c>
    </row>
    <row r="135" spans="1:29" x14ac:dyDescent="0.25">
      <c r="A135" s="12">
        <v>1.3199990989999999</v>
      </c>
      <c r="B135" s="12">
        <v>6406.9589839999999</v>
      </c>
      <c r="C135" s="26"/>
      <c r="D135" s="12">
        <v>1.3199990989999999</v>
      </c>
      <c r="E135" s="12">
        <v>-1143.6898189999999</v>
      </c>
      <c r="F135" s="28"/>
      <c r="G135" s="12">
        <v>1.3199990989999999</v>
      </c>
      <c r="H135" s="12">
        <v>6406.9589839999999</v>
      </c>
      <c r="I135" s="26"/>
      <c r="J135" s="12">
        <v>1.3199990989999999</v>
      </c>
      <c r="K135" s="12">
        <v>-1143.6898189999999</v>
      </c>
      <c r="M135" s="30">
        <f t="shared" ref="M135" si="24">A135</f>
        <v>1.3199990989999999</v>
      </c>
      <c r="N135" s="30">
        <f t="shared" ref="N135" si="25">N134+((B134+B135)/2)*$G$3</f>
        <v>-4143.8359155300977</v>
      </c>
      <c r="O135" s="30">
        <f t="shared" ref="O135" si="26">O134+((N134+N135)/2)*$G$3</f>
        <v>-3554.1412999839949</v>
      </c>
      <c r="P135" s="30">
        <f>O135/1000+'Начальные условия и парам.'!$G$21+'Начальные условия и парам.'!$K$19*'аксел-ры 1 и 2 и интегр-ие  '!M135</f>
        <v>19.530958326649696</v>
      </c>
      <c r="Q135" s="30">
        <f t="shared" ref="Q135" si="27">A135</f>
        <v>1.3199990989999999</v>
      </c>
      <c r="R135" s="30">
        <f t="shared" ref="R135" si="28">R134+((H135+H134)/2)*$G$3</f>
        <v>-4143.8359155300977</v>
      </c>
      <c r="S135" s="30">
        <f t="shared" ref="S135" si="29">S134+((R134+R135)/2)*$G$3</f>
        <v>-3554.1412999839949</v>
      </c>
      <c r="T135" s="30">
        <f>S135/1000+'Начальные условия и парам.'!$M$21+'Начальные условия и парам.'!$K$19*'аксел-ры 1 и 2 и интегр-ие  '!Q135</f>
        <v>21.410343568221514</v>
      </c>
      <c r="V135" s="30">
        <f t="shared" ref="V135" si="30">A135</f>
        <v>1.3199990989999999</v>
      </c>
      <c r="W135" s="30">
        <f t="shared" ref="W135" si="31">W134+((E134+E135)/2)*$G$3</f>
        <v>8112.3591856659996</v>
      </c>
      <c r="X135" s="30">
        <f t="shared" ref="X135" si="32">X134+((W134+W135)/2)*$G$3</f>
        <v>6279.016921678166</v>
      </c>
      <c r="Y135" s="30">
        <f>X135/1000+'Начальные условия и парам.'!$G$22+'Начальные условия и парам.'!$N$19*'аксел-ры 1 и 2 и интегр-ие  '!V135</f>
        <v>0.86854128325360236</v>
      </c>
      <c r="Z135" s="30">
        <f t="shared" ref="Z135" si="33">A135</f>
        <v>1.3199990989999999</v>
      </c>
      <c r="AA135" s="30">
        <f t="shared" ref="AA135" si="34">AA134+((K134+K135)/2)*$G$3</f>
        <v>8112.3591856659996</v>
      </c>
      <c r="AB135" s="30">
        <f t="shared" ref="AB135" si="35">AB134+((AA134+AA135)/2)*$G$3</f>
        <v>6279.016921678166</v>
      </c>
      <c r="AC135" s="30">
        <f>AB135/1000+'Начальные условия и парам.'!$M$22+'Начальные условия и парам.'!$N$19*'аксел-ры 1 и 2 и интегр-ие  '!Z135</f>
        <v>0.18450099660226549</v>
      </c>
    </row>
    <row r="136" spans="1:29" x14ac:dyDescent="0.25">
      <c r="A136" s="12"/>
      <c r="B136" s="12"/>
      <c r="C136" s="26"/>
      <c r="D136" s="12"/>
      <c r="E136" s="12"/>
      <c r="F136" s="28"/>
      <c r="G136" s="12"/>
      <c r="H136" s="12"/>
      <c r="I136" s="26"/>
      <c r="J136" s="12"/>
      <c r="K136" s="12"/>
      <c r="M136" s="12"/>
      <c r="N136" s="12"/>
      <c r="O136" s="12"/>
      <c r="P136" s="12"/>
      <c r="Q136" s="12"/>
      <c r="R136" s="12"/>
      <c r="S136" s="12"/>
      <c r="T136" s="12"/>
      <c r="V136" s="12"/>
      <c r="W136" s="12"/>
      <c r="X136" s="12"/>
      <c r="Y136" s="12"/>
      <c r="Z136" s="12"/>
      <c r="AA136" s="12"/>
      <c r="AB136" s="12"/>
      <c r="AC136" s="12"/>
    </row>
    <row r="137" spans="1:29" x14ac:dyDescent="0.25">
      <c r="A137" s="12"/>
      <c r="B137" s="12"/>
      <c r="C137" s="26"/>
      <c r="D137" s="12"/>
      <c r="E137" s="12"/>
      <c r="F137" s="28"/>
      <c r="G137" s="12"/>
      <c r="H137" s="12"/>
      <c r="I137" s="26"/>
      <c r="J137" s="12"/>
      <c r="K137" s="12"/>
      <c r="M137" s="12"/>
      <c r="N137" s="12"/>
      <c r="O137" s="12"/>
      <c r="P137" s="12"/>
      <c r="Q137" s="12"/>
      <c r="R137" s="12"/>
      <c r="S137" s="12"/>
      <c r="T137" s="12"/>
      <c r="V137" s="12"/>
      <c r="W137" s="12"/>
      <c r="X137" s="12"/>
      <c r="Y137" s="12"/>
      <c r="Z137" s="12"/>
      <c r="AA137" s="12"/>
      <c r="AB137" s="12"/>
      <c r="AC137" s="12"/>
    </row>
    <row r="138" spans="1:29" x14ac:dyDescent="0.25">
      <c r="A138" s="12"/>
      <c r="B138" s="12"/>
      <c r="C138" s="26"/>
      <c r="D138" s="12"/>
      <c r="E138" s="12"/>
      <c r="F138" s="28"/>
      <c r="G138" s="12"/>
      <c r="H138" s="12"/>
      <c r="I138" s="26"/>
      <c r="J138" s="12"/>
      <c r="K138" s="12"/>
      <c r="M138" s="12"/>
      <c r="N138" s="12"/>
      <c r="O138" s="12"/>
      <c r="P138" s="12"/>
      <c r="Q138" s="12"/>
      <c r="R138" s="12"/>
      <c r="S138" s="12"/>
      <c r="T138" s="12"/>
      <c r="V138" s="12"/>
      <c r="W138" s="12"/>
      <c r="X138" s="12"/>
      <c r="Y138" s="12"/>
      <c r="Z138" s="12"/>
      <c r="AA138" s="12"/>
      <c r="AB138" s="12"/>
      <c r="AC138" s="12"/>
    </row>
    <row r="139" spans="1:29" x14ac:dyDescent="0.25">
      <c r="A139" s="12"/>
      <c r="B139" s="12"/>
      <c r="C139" s="26"/>
      <c r="D139" s="12"/>
      <c r="E139" s="12"/>
      <c r="F139" s="28"/>
      <c r="G139" s="12"/>
      <c r="H139" s="12"/>
      <c r="I139" s="26"/>
      <c r="J139" s="12"/>
      <c r="K139" s="12"/>
      <c r="M139" s="12"/>
      <c r="N139" s="12"/>
      <c r="O139" s="12"/>
      <c r="P139" s="12"/>
      <c r="Q139" s="12"/>
      <c r="R139" s="12"/>
      <c r="S139" s="12"/>
      <c r="T139" s="12"/>
      <c r="V139" s="12"/>
      <c r="W139" s="12"/>
      <c r="X139" s="12"/>
      <c r="Y139" s="12"/>
      <c r="Z139" s="12"/>
      <c r="AA139" s="12"/>
      <c r="AB139" s="12"/>
      <c r="AC139" s="12"/>
    </row>
    <row r="140" spans="1:29" x14ac:dyDescent="0.25">
      <c r="A140" s="12"/>
      <c r="B140" s="12"/>
      <c r="C140" s="26"/>
      <c r="D140" s="12"/>
      <c r="E140" s="12"/>
      <c r="F140" s="28"/>
      <c r="G140" s="12"/>
      <c r="H140" s="12"/>
      <c r="I140" s="26"/>
      <c r="J140" s="12"/>
      <c r="K140" s="12"/>
      <c r="M140" s="12"/>
      <c r="N140" s="12"/>
      <c r="O140" s="12"/>
      <c r="P140" s="12"/>
      <c r="Q140" s="12"/>
      <c r="R140" s="12"/>
      <c r="S140" s="12"/>
      <c r="T140" s="12"/>
      <c r="V140" s="12"/>
      <c r="W140" s="12"/>
      <c r="X140" s="12"/>
      <c r="Y140" s="12"/>
      <c r="Z140" s="12"/>
      <c r="AA140" s="12"/>
      <c r="AB140" s="12"/>
      <c r="AC140" s="12"/>
    </row>
    <row r="141" spans="1:29" x14ac:dyDescent="0.25">
      <c r="A141" s="12"/>
      <c r="B141" s="12"/>
      <c r="C141" s="26"/>
      <c r="D141" s="12"/>
      <c r="E141" s="12"/>
      <c r="F141" s="28"/>
      <c r="G141" s="12"/>
      <c r="H141" s="12"/>
      <c r="I141" s="26"/>
      <c r="J141" s="12"/>
      <c r="K141" s="12"/>
      <c r="M141" s="12"/>
      <c r="N141" s="12"/>
      <c r="O141" s="12"/>
      <c r="P141" s="12"/>
      <c r="Q141" s="12"/>
      <c r="R141" s="12"/>
      <c r="S141" s="12"/>
      <c r="T141" s="12"/>
      <c r="V141" s="12"/>
      <c r="W141" s="12"/>
      <c r="X141" s="12"/>
      <c r="Y141" s="12"/>
      <c r="Z141" s="12"/>
      <c r="AA141" s="12"/>
      <c r="AB141" s="12"/>
      <c r="AC141" s="12"/>
    </row>
    <row r="142" spans="1:29" x14ac:dyDescent="0.25">
      <c r="A142" s="12"/>
      <c r="B142" s="12"/>
      <c r="C142" s="26"/>
      <c r="D142" s="12"/>
      <c r="E142" s="12"/>
      <c r="F142" s="28"/>
      <c r="G142" s="12"/>
      <c r="H142" s="12"/>
      <c r="I142" s="26"/>
      <c r="J142" s="12"/>
      <c r="K142" s="12"/>
      <c r="M142" s="12"/>
      <c r="N142" s="12"/>
      <c r="O142" s="12"/>
      <c r="P142" s="12"/>
      <c r="Q142" s="12"/>
      <c r="R142" s="12"/>
      <c r="S142" s="12"/>
      <c r="T142" s="12"/>
      <c r="V142" s="12"/>
      <c r="W142" s="12"/>
      <c r="X142" s="12"/>
      <c r="Y142" s="12"/>
      <c r="Z142" s="12"/>
      <c r="AA142" s="12"/>
      <c r="AB142" s="12"/>
      <c r="AC142" s="12"/>
    </row>
    <row r="143" spans="1:29" x14ac:dyDescent="0.25">
      <c r="A143" s="12"/>
      <c r="B143" s="12"/>
      <c r="C143" s="26"/>
      <c r="D143" s="12"/>
      <c r="E143" s="12"/>
      <c r="F143" s="28"/>
      <c r="G143" s="12"/>
      <c r="H143" s="12"/>
      <c r="I143" s="26"/>
      <c r="J143" s="12"/>
      <c r="K143" s="12"/>
      <c r="M143" s="12"/>
      <c r="N143" s="12"/>
      <c r="O143" s="12"/>
      <c r="P143" s="12"/>
      <c r="Q143" s="12"/>
      <c r="R143" s="12"/>
      <c r="S143" s="12"/>
      <c r="T143" s="12"/>
      <c r="V143" s="12"/>
      <c r="W143" s="12"/>
      <c r="X143" s="12"/>
      <c r="Y143" s="12"/>
      <c r="Z143" s="12"/>
      <c r="AA143" s="12"/>
      <c r="AB143" s="12"/>
      <c r="AC143" s="12"/>
    </row>
    <row r="144" spans="1:29" x14ac:dyDescent="0.25">
      <c r="A144" s="12"/>
      <c r="B144" s="12"/>
      <c r="C144" s="26"/>
      <c r="D144" s="12"/>
      <c r="E144" s="12"/>
      <c r="F144" s="28"/>
      <c r="G144" s="12"/>
      <c r="H144" s="12"/>
      <c r="I144" s="26"/>
      <c r="J144" s="12"/>
      <c r="K144" s="12"/>
      <c r="M144" s="12"/>
      <c r="N144" s="12"/>
      <c r="O144" s="12"/>
      <c r="P144" s="12"/>
      <c r="Q144" s="12"/>
      <c r="R144" s="12"/>
      <c r="S144" s="12"/>
      <c r="T144" s="12"/>
      <c r="V144" s="12"/>
      <c r="W144" s="12"/>
      <c r="X144" s="12"/>
      <c r="Y144" s="12"/>
      <c r="Z144" s="12"/>
      <c r="AA144" s="12"/>
      <c r="AB144" s="12"/>
      <c r="AC144" s="12"/>
    </row>
    <row r="145" spans="1:29" x14ac:dyDescent="0.25">
      <c r="A145" s="12"/>
      <c r="B145" s="12"/>
      <c r="C145" s="26"/>
      <c r="D145" s="12"/>
      <c r="E145" s="12"/>
      <c r="F145" s="28"/>
      <c r="G145" s="12"/>
      <c r="H145" s="12"/>
      <c r="I145" s="26"/>
      <c r="J145" s="12"/>
      <c r="K145" s="12"/>
      <c r="M145" s="12"/>
      <c r="N145" s="12"/>
      <c r="O145" s="12"/>
      <c r="P145" s="12"/>
      <c r="Q145" s="12"/>
      <c r="R145" s="12"/>
      <c r="S145" s="12"/>
      <c r="T145" s="12"/>
      <c r="V145" s="12"/>
      <c r="W145" s="12"/>
      <c r="X145" s="12"/>
      <c r="Y145" s="12"/>
      <c r="Z145" s="12"/>
      <c r="AA145" s="12"/>
      <c r="AB145" s="12"/>
      <c r="AC145" s="12"/>
    </row>
    <row r="146" spans="1:29" x14ac:dyDescent="0.25">
      <c r="A146" s="12"/>
      <c r="B146" s="12"/>
      <c r="C146" s="26"/>
      <c r="D146" s="12"/>
      <c r="E146" s="12"/>
      <c r="F146" s="28"/>
      <c r="G146" s="12"/>
      <c r="H146" s="12"/>
      <c r="I146" s="26"/>
      <c r="J146" s="12"/>
      <c r="K146" s="12"/>
      <c r="M146" s="12"/>
      <c r="N146" s="12"/>
      <c r="O146" s="12"/>
      <c r="P146" s="12"/>
      <c r="Q146" s="12"/>
      <c r="R146" s="12"/>
      <c r="S146" s="12"/>
      <c r="T146" s="12"/>
      <c r="V146" s="12"/>
      <c r="W146" s="12"/>
      <c r="X146" s="12"/>
      <c r="Y146" s="12"/>
      <c r="Z146" s="12"/>
      <c r="AA146" s="12"/>
      <c r="AB146" s="12"/>
      <c r="AC146" s="12"/>
    </row>
    <row r="147" spans="1:29" x14ac:dyDescent="0.25">
      <c r="A147" s="12"/>
      <c r="B147" s="12"/>
      <c r="C147" s="26"/>
      <c r="D147" s="12"/>
      <c r="E147" s="12"/>
      <c r="F147" s="28"/>
      <c r="G147" s="12"/>
      <c r="H147" s="12"/>
      <c r="I147" s="26"/>
      <c r="J147" s="12"/>
      <c r="K147" s="12"/>
      <c r="M147" s="12"/>
      <c r="N147" s="12"/>
      <c r="O147" s="12"/>
      <c r="P147" s="12"/>
      <c r="Q147" s="12"/>
      <c r="R147" s="12"/>
      <c r="S147" s="12"/>
      <c r="T147" s="12"/>
      <c r="V147" s="12"/>
      <c r="W147" s="12"/>
      <c r="X147" s="12"/>
      <c r="Y147" s="12"/>
      <c r="Z147" s="12"/>
      <c r="AA147" s="12"/>
      <c r="AB147" s="12"/>
      <c r="AC147" s="12"/>
    </row>
    <row r="148" spans="1:29" x14ac:dyDescent="0.25">
      <c r="A148" s="12"/>
      <c r="B148" s="12"/>
      <c r="C148" s="26"/>
      <c r="D148" s="12"/>
      <c r="E148" s="12"/>
      <c r="F148" s="28"/>
      <c r="G148" s="12"/>
      <c r="H148" s="12"/>
      <c r="I148" s="26"/>
      <c r="J148" s="12"/>
      <c r="K148" s="12"/>
      <c r="M148" s="12"/>
      <c r="N148" s="12"/>
      <c r="O148" s="12"/>
      <c r="P148" s="12"/>
      <c r="Q148" s="12"/>
      <c r="R148" s="12"/>
      <c r="S148" s="12"/>
      <c r="T148" s="12"/>
      <c r="V148" s="12"/>
      <c r="W148" s="12"/>
      <c r="X148" s="12"/>
      <c r="Y148" s="12"/>
      <c r="Z148" s="12"/>
      <c r="AA148" s="12"/>
      <c r="AB148" s="12"/>
      <c r="AC148" s="12"/>
    </row>
    <row r="149" spans="1:29" x14ac:dyDescent="0.25">
      <c r="A149" s="12"/>
      <c r="B149" s="12"/>
      <c r="C149" s="26"/>
      <c r="D149" s="12"/>
      <c r="E149" s="12"/>
      <c r="F149" s="28"/>
      <c r="G149" s="12"/>
      <c r="H149" s="12"/>
      <c r="I149" s="26"/>
      <c r="J149" s="12"/>
      <c r="K149" s="12"/>
      <c r="M149" s="12"/>
      <c r="N149" s="12"/>
      <c r="O149" s="12"/>
      <c r="P149" s="12"/>
      <c r="Q149" s="12"/>
      <c r="R149" s="12"/>
      <c r="S149" s="12"/>
      <c r="T149" s="12"/>
      <c r="V149" s="12"/>
      <c r="W149" s="12"/>
      <c r="X149" s="12"/>
      <c r="Y149" s="12"/>
      <c r="Z149" s="12"/>
      <c r="AA149" s="12"/>
      <c r="AB149" s="12"/>
      <c r="AC149" s="12"/>
    </row>
    <row r="150" spans="1:29" x14ac:dyDescent="0.25">
      <c r="A150" s="12"/>
      <c r="B150" s="12"/>
      <c r="C150" s="26"/>
      <c r="D150" s="12"/>
      <c r="E150" s="12"/>
      <c r="F150" s="28"/>
      <c r="G150" s="12"/>
      <c r="H150" s="12"/>
      <c r="I150" s="26"/>
      <c r="J150" s="12"/>
      <c r="K150" s="12"/>
      <c r="M150" s="12"/>
      <c r="N150" s="12"/>
      <c r="O150" s="12"/>
      <c r="P150" s="12"/>
      <c r="Q150" s="12"/>
      <c r="R150" s="12"/>
      <c r="S150" s="12"/>
      <c r="T150" s="12"/>
      <c r="V150" s="12"/>
      <c r="W150" s="12"/>
      <c r="X150" s="12"/>
      <c r="Y150" s="12"/>
      <c r="Z150" s="12"/>
      <c r="AA150" s="12"/>
      <c r="AB150" s="12"/>
      <c r="AC150" s="12"/>
    </row>
    <row r="151" spans="1:29" x14ac:dyDescent="0.25">
      <c r="A151" s="12"/>
      <c r="B151" s="12"/>
      <c r="C151" s="26"/>
      <c r="D151" s="12"/>
      <c r="E151" s="12"/>
      <c r="F151" s="28"/>
      <c r="G151" s="12"/>
      <c r="H151" s="12"/>
      <c r="I151" s="26"/>
      <c r="J151" s="12"/>
      <c r="K151" s="12"/>
      <c r="M151" s="12"/>
      <c r="N151" s="12"/>
      <c r="O151" s="12"/>
      <c r="P151" s="12"/>
      <c r="Q151" s="12"/>
      <c r="R151" s="12"/>
      <c r="S151" s="12"/>
      <c r="T151" s="12"/>
      <c r="V151" s="12"/>
      <c r="W151" s="12"/>
      <c r="X151" s="12"/>
      <c r="Y151" s="12"/>
      <c r="Z151" s="12"/>
      <c r="AA151" s="12"/>
      <c r="AB151" s="12"/>
      <c r="AC151" s="12"/>
    </row>
    <row r="152" spans="1:29" x14ac:dyDescent="0.25">
      <c r="A152" s="12"/>
      <c r="B152" s="12"/>
      <c r="C152" s="26"/>
      <c r="D152" s="12"/>
      <c r="E152" s="12"/>
      <c r="F152" s="28"/>
      <c r="G152" s="12"/>
      <c r="H152" s="12"/>
      <c r="I152" s="26"/>
      <c r="J152" s="12"/>
      <c r="K152" s="12"/>
      <c r="M152" s="12"/>
      <c r="N152" s="12"/>
      <c r="O152" s="12"/>
      <c r="P152" s="12"/>
      <c r="Q152" s="12"/>
      <c r="R152" s="12"/>
      <c r="S152" s="12"/>
      <c r="T152" s="12"/>
      <c r="V152" s="12"/>
      <c r="W152" s="12"/>
      <c r="X152" s="12"/>
      <c r="Y152" s="12"/>
      <c r="Z152" s="12"/>
      <c r="AA152" s="12"/>
      <c r="AB152" s="12"/>
      <c r="AC152" s="12"/>
    </row>
    <row r="153" spans="1:29" x14ac:dyDescent="0.25">
      <c r="A153" s="12"/>
      <c r="B153" s="12"/>
      <c r="C153" s="26"/>
      <c r="D153" s="12"/>
      <c r="E153" s="12"/>
      <c r="F153" s="28"/>
      <c r="G153" s="12"/>
      <c r="H153" s="12"/>
      <c r="I153" s="26"/>
      <c r="J153" s="12"/>
      <c r="K153" s="12"/>
      <c r="M153" s="12"/>
      <c r="N153" s="12"/>
      <c r="O153" s="12"/>
      <c r="P153" s="12"/>
      <c r="Q153" s="12"/>
      <c r="R153" s="12"/>
      <c r="S153" s="12"/>
      <c r="T153" s="12"/>
      <c r="V153" s="12"/>
      <c r="W153" s="12"/>
      <c r="X153" s="12"/>
      <c r="Y153" s="12"/>
      <c r="Z153" s="12"/>
      <c r="AA153" s="12"/>
      <c r="AB153" s="12"/>
      <c r="AC153" s="12"/>
    </row>
    <row r="154" spans="1:29" x14ac:dyDescent="0.25">
      <c r="A154" s="12"/>
      <c r="B154" s="12"/>
      <c r="C154" s="26"/>
      <c r="D154" s="12"/>
      <c r="E154" s="12"/>
      <c r="F154" s="28"/>
      <c r="G154" s="12"/>
      <c r="H154" s="12"/>
      <c r="I154" s="26"/>
      <c r="J154" s="12"/>
      <c r="K154" s="12"/>
      <c r="M154" s="12"/>
      <c r="N154" s="12"/>
      <c r="O154" s="12"/>
      <c r="P154" s="12"/>
      <c r="Q154" s="12"/>
      <c r="R154" s="12"/>
      <c r="S154" s="12"/>
      <c r="T154" s="12"/>
      <c r="V154" s="12"/>
      <c r="W154" s="12"/>
      <c r="X154" s="12"/>
      <c r="Y154" s="12"/>
      <c r="Z154" s="12"/>
      <c r="AA154" s="12"/>
      <c r="AB154" s="12"/>
      <c r="AC154" s="12"/>
    </row>
    <row r="155" spans="1:29" x14ac:dyDescent="0.25">
      <c r="A155" s="12"/>
      <c r="B155" s="12"/>
      <c r="C155" s="26"/>
      <c r="D155" s="12"/>
      <c r="E155" s="12"/>
      <c r="F155" s="28"/>
      <c r="G155" s="12"/>
      <c r="H155" s="12"/>
      <c r="I155" s="26"/>
      <c r="J155" s="12"/>
      <c r="K155" s="12"/>
      <c r="M155" s="12"/>
      <c r="N155" s="12"/>
      <c r="O155" s="12"/>
      <c r="P155" s="12"/>
      <c r="Q155" s="12"/>
      <c r="R155" s="12"/>
      <c r="S155" s="12"/>
      <c r="T155" s="12"/>
      <c r="V155" s="12"/>
      <c r="W155" s="12"/>
      <c r="X155" s="12"/>
      <c r="Y155" s="12"/>
      <c r="Z155" s="12"/>
      <c r="AA155" s="12"/>
      <c r="AB155" s="12"/>
      <c r="AC155" s="12"/>
    </row>
    <row r="156" spans="1:29" x14ac:dyDescent="0.25">
      <c r="A156" s="12"/>
      <c r="B156" s="12"/>
      <c r="C156" s="26"/>
      <c r="D156" s="12"/>
      <c r="E156" s="12"/>
      <c r="F156" s="28"/>
      <c r="G156" s="12"/>
      <c r="H156" s="12"/>
      <c r="I156" s="26"/>
      <c r="J156" s="12"/>
      <c r="K156" s="12"/>
      <c r="M156" s="12"/>
      <c r="N156" s="12"/>
      <c r="O156" s="12"/>
      <c r="P156" s="12"/>
      <c r="Q156" s="12"/>
      <c r="R156" s="12"/>
      <c r="S156" s="12"/>
      <c r="T156" s="12"/>
      <c r="V156" s="12"/>
      <c r="W156" s="12"/>
      <c r="X156" s="12"/>
      <c r="Y156" s="12"/>
      <c r="Z156" s="12"/>
      <c r="AA156" s="12"/>
      <c r="AB156" s="12"/>
      <c r="AC156" s="12"/>
    </row>
    <row r="157" spans="1:29" x14ac:dyDescent="0.25">
      <c r="A157" s="12"/>
      <c r="B157" s="12"/>
      <c r="C157" s="26"/>
      <c r="D157" s="12"/>
      <c r="E157" s="12"/>
      <c r="F157" s="28"/>
      <c r="G157" s="12"/>
      <c r="H157" s="12"/>
      <c r="I157" s="26"/>
      <c r="J157" s="12"/>
      <c r="K157" s="12"/>
      <c r="M157" s="12"/>
      <c r="N157" s="12"/>
      <c r="O157" s="12"/>
      <c r="P157" s="12"/>
      <c r="Q157" s="12"/>
      <c r="R157" s="12"/>
      <c r="S157" s="12"/>
      <c r="T157" s="12"/>
      <c r="V157" s="12"/>
      <c r="W157" s="12"/>
      <c r="X157" s="12"/>
      <c r="Y157" s="12"/>
      <c r="Z157" s="12"/>
      <c r="AA157" s="12"/>
      <c r="AB157" s="12"/>
      <c r="AC157" s="12"/>
    </row>
    <row r="158" spans="1:29" x14ac:dyDescent="0.25">
      <c r="A158" s="12"/>
      <c r="B158" s="12"/>
      <c r="C158" s="26"/>
      <c r="D158" s="12"/>
      <c r="E158" s="12"/>
      <c r="F158" s="28"/>
      <c r="G158" s="12"/>
      <c r="H158" s="12"/>
      <c r="I158" s="26"/>
      <c r="J158" s="12"/>
      <c r="K158" s="12"/>
      <c r="M158" s="12"/>
      <c r="N158" s="12"/>
      <c r="O158" s="12"/>
      <c r="P158" s="12"/>
      <c r="Q158" s="12"/>
      <c r="R158" s="12"/>
      <c r="S158" s="12"/>
      <c r="T158" s="12"/>
      <c r="V158" s="12"/>
      <c r="W158" s="12"/>
      <c r="X158" s="12"/>
      <c r="Y158" s="12"/>
      <c r="Z158" s="12"/>
      <c r="AA158" s="12"/>
      <c r="AB158" s="12"/>
      <c r="AC158" s="12"/>
    </row>
    <row r="159" spans="1:29" x14ac:dyDescent="0.25">
      <c r="A159" s="12"/>
      <c r="B159" s="12"/>
      <c r="C159" s="26"/>
      <c r="D159" s="12"/>
      <c r="E159" s="12"/>
      <c r="F159" s="28"/>
      <c r="G159" s="12"/>
      <c r="H159" s="12"/>
      <c r="I159" s="26"/>
      <c r="J159" s="12"/>
      <c r="K159" s="12"/>
      <c r="M159" s="12"/>
      <c r="N159" s="12"/>
      <c r="O159" s="12"/>
      <c r="P159" s="12"/>
      <c r="Q159" s="12"/>
      <c r="R159" s="12"/>
      <c r="S159" s="12"/>
      <c r="T159" s="12"/>
      <c r="V159" s="12"/>
      <c r="W159" s="12"/>
      <c r="X159" s="12"/>
      <c r="Y159" s="12"/>
      <c r="Z159" s="12"/>
      <c r="AA159" s="12"/>
      <c r="AB159" s="12"/>
      <c r="AC159" s="12"/>
    </row>
    <row r="160" spans="1:29" x14ac:dyDescent="0.25">
      <c r="A160" s="12"/>
      <c r="B160" s="12"/>
      <c r="C160" s="26"/>
      <c r="D160" s="12"/>
      <c r="E160" s="12"/>
      <c r="F160" s="28"/>
      <c r="G160" s="12"/>
      <c r="H160" s="12"/>
      <c r="I160" s="26"/>
      <c r="J160" s="12"/>
      <c r="K160" s="12"/>
      <c r="M160" s="12"/>
      <c r="N160" s="12"/>
      <c r="O160" s="12"/>
      <c r="P160" s="12"/>
      <c r="Q160" s="12"/>
      <c r="R160" s="12"/>
      <c r="S160" s="12"/>
      <c r="T160" s="12"/>
      <c r="V160" s="12"/>
      <c r="W160" s="12"/>
      <c r="X160" s="12"/>
      <c r="Y160" s="12"/>
      <c r="Z160" s="12"/>
      <c r="AA160" s="12"/>
      <c r="AB160" s="12"/>
      <c r="AC160" s="12"/>
    </row>
    <row r="161" spans="1:29" x14ac:dyDescent="0.25">
      <c r="A161" s="12"/>
      <c r="B161" s="12"/>
      <c r="C161" s="26"/>
      <c r="D161" s="12"/>
      <c r="E161" s="12"/>
      <c r="F161" s="28"/>
      <c r="G161" s="12"/>
      <c r="H161" s="12"/>
      <c r="I161" s="26"/>
      <c r="J161" s="12"/>
      <c r="K161" s="12"/>
      <c r="M161" s="12"/>
      <c r="N161" s="12"/>
      <c r="O161" s="12"/>
      <c r="P161" s="12"/>
      <c r="Q161" s="12"/>
      <c r="R161" s="12"/>
      <c r="S161" s="12"/>
      <c r="T161" s="12"/>
      <c r="V161" s="12"/>
      <c r="W161" s="12"/>
      <c r="X161" s="12"/>
      <c r="Y161" s="12"/>
      <c r="Z161" s="12"/>
      <c r="AA161" s="12"/>
      <c r="AB161" s="12"/>
      <c r="AC161" s="12"/>
    </row>
    <row r="162" spans="1:29" x14ac:dyDescent="0.25">
      <c r="A162" s="12"/>
      <c r="B162" s="12"/>
      <c r="C162" s="26"/>
      <c r="D162" s="12"/>
      <c r="E162" s="12"/>
      <c r="F162" s="28"/>
      <c r="G162" s="12"/>
      <c r="H162" s="12"/>
      <c r="I162" s="26"/>
      <c r="J162" s="12"/>
      <c r="K162" s="12"/>
      <c r="M162" s="12"/>
      <c r="N162" s="12"/>
      <c r="O162" s="12"/>
      <c r="P162" s="12"/>
      <c r="Q162" s="12"/>
      <c r="R162" s="12"/>
      <c r="S162" s="12"/>
      <c r="T162" s="12"/>
      <c r="V162" s="12"/>
      <c r="W162" s="12"/>
      <c r="X162" s="12"/>
      <c r="Y162" s="12"/>
      <c r="Z162" s="12"/>
      <c r="AA162" s="12"/>
      <c r="AB162" s="12"/>
      <c r="AC162" s="12"/>
    </row>
    <row r="163" spans="1:29" x14ac:dyDescent="0.25">
      <c r="A163" s="12"/>
      <c r="B163" s="12"/>
      <c r="C163" s="26"/>
      <c r="D163" s="12"/>
      <c r="E163" s="12"/>
      <c r="F163" s="28"/>
      <c r="G163" s="12"/>
      <c r="H163" s="12"/>
      <c r="I163" s="26"/>
      <c r="J163" s="12"/>
      <c r="K163" s="12"/>
      <c r="M163" s="12"/>
      <c r="N163" s="12"/>
      <c r="O163" s="12"/>
      <c r="P163" s="12"/>
      <c r="Q163" s="12"/>
      <c r="R163" s="12"/>
      <c r="S163" s="12"/>
      <c r="T163" s="12"/>
      <c r="V163" s="12"/>
      <c r="W163" s="12"/>
      <c r="X163" s="12"/>
      <c r="Y163" s="12"/>
      <c r="Z163" s="12"/>
      <c r="AA163" s="12"/>
      <c r="AB163" s="12"/>
      <c r="AC163" s="12"/>
    </row>
    <row r="164" spans="1:29" x14ac:dyDescent="0.25">
      <c r="A164" s="12"/>
      <c r="B164" s="12"/>
      <c r="C164" s="26"/>
      <c r="D164" s="12"/>
      <c r="E164" s="12"/>
      <c r="F164" s="28"/>
      <c r="G164" s="12"/>
      <c r="H164" s="12"/>
      <c r="I164" s="26"/>
      <c r="J164" s="12"/>
      <c r="K164" s="12"/>
      <c r="M164" s="12"/>
      <c r="N164" s="12"/>
      <c r="O164" s="12"/>
      <c r="P164" s="12"/>
      <c r="Q164" s="12"/>
      <c r="R164" s="12"/>
      <c r="S164" s="12"/>
      <c r="T164" s="12"/>
      <c r="V164" s="12"/>
      <c r="W164" s="12"/>
      <c r="X164" s="12"/>
      <c r="Y164" s="12"/>
      <c r="Z164" s="12"/>
      <c r="AA164" s="12"/>
      <c r="AB164" s="12"/>
      <c r="AC164" s="12"/>
    </row>
    <row r="165" spans="1:29" x14ac:dyDescent="0.25">
      <c r="A165" s="12"/>
      <c r="B165" s="12"/>
      <c r="C165" s="26"/>
      <c r="D165" s="12"/>
      <c r="E165" s="12"/>
      <c r="F165" s="28"/>
      <c r="G165" s="12"/>
      <c r="H165" s="12"/>
      <c r="I165" s="26"/>
      <c r="J165" s="12"/>
      <c r="K165" s="12"/>
      <c r="M165" s="12"/>
      <c r="N165" s="12"/>
      <c r="O165" s="12"/>
      <c r="P165" s="12"/>
      <c r="Q165" s="12"/>
      <c r="R165" s="12"/>
      <c r="S165" s="12"/>
      <c r="T165" s="12"/>
      <c r="V165" s="12"/>
      <c r="W165" s="12"/>
      <c r="X165" s="12"/>
      <c r="Y165" s="12"/>
      <c r="Z165" s="12"/>
      <c r="AA165" s="12"/>
      <c r="AB165" s="12"/>
      <c r="AC165" s="12"/>
    </row>
    <row r="166" spans="1:29" x14ac:dyDescent="0.25">
      <c r="A166" s="12"/>
      <c r="B166" s="12"/>
      <c r="C166" s="26"/>
      <c r="D166" s="12"/>
      <c r="E166" s="12"/>
      <c r="F166" s="28"/>
      <c r="G166" s="12"/>
      <c r="H166" s="12"/>
      <c r="I166" s="26"/>
      <c r="J166" s="12"/>
      <c r="K166" s="12"/>
      <c r="M166" s="12"/>
      <c r="N166" s="12"/>
      <c r="O166" s="12"/>
      <c r="P166" s="12"/>
      <c r="Q166" s="12"/>
      <c r="R166" s="12"/>
      <c r="S166" s="12"/>
      <c r="T166" s="12"/>
      <c r="V166" s="12"/>
      <c r="W166" s="12"/>
      <c r="X166" s="12"/>
      <c r="Y166" s="12"/>
      <c r="Z166" s="12"/>
      <c r="AA166" s="12"/>
      <c r="AB166" s="12"/>
      <c r="AC166" s="12"/>
    </row>
    <row r="167" spans="1:29" x14ac:dyDescent="0.25">
      <c r="A167" s="12"/>
      <c r="B167" s="12"/>
      <c r="C167" s="26"/>
      <c r="D167" s="12"/>
      <c r="E167" s="12"/>
      <c r="F167" s="28"/>
      <c r="G167" s="12"/>
      <c r="H167" s="12"/>
      <c r="I167" s="26"/>
      <c r="J167" s="12"/>
      <c r="K167" s="12"/>
      <c r="M167" s="12"/>
      <c r="N167" s="12"/>
      <c r="O167" s="12"/>
      <c r="P167" s="12"/>
      <c r="Q167" s="12"/>
      <c r="R167" s="12"/>
      <c r="S167" s="12"/>
      <c r="T167" s="12"/>
      <c r="V167" s="12"/>
      <c r="W167" s="12"/>
      <c r="X167" s="12"/>
      <c r="Y167" s="12"/>
      <c r="Z167" s="12"/>
      <c r="AA167" s="12"/>
      <c r="AB167" s="12"/>
      <c r="AC167" s="12"/>
    </row>
    <row r="168" spans="1:29" x14ac:dyDescent="0.25">
      <c r="A168" s="12"/>
      <c r="B168" s="12"/>
      <c r="C168" s="26"/>
      <c r="D168" s="12"/>
      <c r="E168" s="12"/>
      <c r="F168" s="28"/>
      <c r="G168" s="12"/>
      <c r="H168" s="12"/>
      <c r="I168" s="26"/>
      <c r="J168" s="12"/>
      <c r="K168" s="12"/>
      <c r="M168" s="12"/>
      <c r="N168" s="12"/>
      <c r="O168" s="12"/>
      <c r="P168" s="12"/>
      <c r="Q168" s="12"/>
      <c r="R168" s="12"/>
      <c r="S168" s="12"/>
      <c r="T168" s="12"/>
      <c r="V168" s="12"/>
      <c r="W168" s="12"/>
      <c r="X168" s="12"/>
      <c r="Y168" s="12"/>
      <c r="Z168" s="12"/>
      <c r="AA168" s="12"/>
      <c r="AB168" s="12"/>
      <c r="AC168" s="12"/>
    </row>
    <row r="169" spans="1:29" x14ac:dyDescent="0.25">
      <c r="A169" s="12"/>
      <c r="B169" s="12"/>
      <c r="C169" s="26"/>
      <c r="D169" s="12"/>
      <c r="E169" s="12"/>
      <c r="F169" s="28"/>
      <c r="G169" s="12"/>
      <c r="H169" s="12"/>
      <c r="I169" s="26"/>
      <c r="J169" s="12"/>
      <c r="K169" s="12"/>
      <c r="M169" s="12"/>
      <c r="N169" s="12"/>
      <c r="O169" s="12"/>
      <c r="P169" s="12"/>
      <c r="Q169" s="12"/>
      <c r="R169" s="12"/>
      <c r="S169" s="12"/>
      <c r="T169" s="12"/>
      <c r="V169" s="12"/>
      <c r="W169" s="12"/>
      <c r="X169" s="12"/>
      <c r="Y169" s="12"/>
      <c r="Z169" s="12"/>
      <c r="AA169" s="12"/>
      <c r="AB169" s="12"/>
      <c r="AC169" s="12"/>
    </row>
    <row r="170" spans="1:29" x14ac:dyDescent="0.25">
      <c r="A170" s="12"/>
      <c r="B170" s="12"/>
      <c r="C170" s="26"/>
      <c r="D170" s="12"/>
      <c r="E170" s="12"/>
      <c r="F170" s="28"/>
      <c r="G170" s="12"/>
      <c r="H170" s="12"/>
      <c r="I170" s="26"/>
      <c r="J170" s="12"/>
      <c r="K170" s="12"/>
      <c r="M170" s="12"/>
      <c r="N170" s="12"/>
      <c r="O170" s="12"/>
      <c r="P170" s="12"/>
      <c r="Q170" s="12"/>
      <c r="R170" s="12"/>
      <c r="S170" s="12"/>
      <c r="T170" s="12"/>
      <c r="V170" s="12"/>
      <c r="W170" s="12"/>
      <c r="X170" s="12"/>
      <c r="Y170" s="12"/>
      <c r="Z170" s="12"/>
      <c r="AA170" s="12"/>
      <c r="AB170" s="12"/>
      <c r="AC170" s="12"/>
    </row>
    <row r="171" spans="1:29" x14ac:dyDescent="0.25">
      <c r="A171" s="12"/>
      <c r="B171" s="12"/>
      <c r="C171" s="26"/>
      <c r="D171" s="12"/>
      <c r="E171" s="12"/>
      <c r="F171" s="28"/>
      <c r="G171" s="12"/>
      <c r="H171" s="12"/>
      <c r="I171" s="26"/>
      <c r="J171" s="12"/>
      <c r="K171" s="12"/>
      <c r="M171" s="12"/>
      <c r="N171" s="12"/>
      <c r="O171" s="12"/>
      <c r="P171" s="12"/>
      <c r="Q171" s="12"/>
      <c r="R171" s="12"/>
      <c r="S171" s="12"/>
      <c r="T171" s="12"/>
      <c r="V171" s="12"/>
      <c r="W171" s="12"/>
      <c r="X171" s="12"/>
      <c r="Y171" s="12"/>
      <c r="Z171" s="12"/>
      <c r="AA171" s="12"/>
      <c r="AB171" s="12"/>
      <c r="AC171" s="12"/>
    </row>
    <row r="172" spans="1:29" x14ac:dyDescent="0.25">
      <c r="A172" s="12"/>
      <c r="B172" s="12"/>
      <c r="C172" s="26"/>
      <c r="D172" s="12"/>
      <c r="E172" s="12"/>
      <c r="F172" s="28"/>
      <c r="G172" s="12"/>
      <c r="H172" s="12"/>
      <c r="I172" s="26"/>
      <c r="J172" s="12"/>
      <c r="K172" s="12"/>
      <c r="M172" s="12"/>
      <c r="N172" s="12"/>
      <c r="O172" s="12"/>
      <c r="P172" s="12"/>
      <c r="Q172" s="12"/>
      <c r="R172" s="12"/>
      <c r="S172" s="12"/>
      <c r="T172" s="12"/>
      <c r="V172" s="12"/>
      <c r="W172" s="12"/>
      <c r="X172" s="12"/>
      <c r="Y172" s="12"/>
      <c r="Z172" s="12"/>
      <c r="AA172" s="12"/>
      <c r="AB172" s="12"/>
      <c r="AC172" s="12"/>
    </row>
    <row r="173" spans="1:29" x14ac:dyDescent="0.25">
      <c r="A173" s="12"/>
      <c r="B173" s="12"/>
      <c r="C173" s="26"/>
      <c r="D173" s="12"/>
      <c r="E173" s="12"/>
      <c r="F173" s="28"/>
      <c r="G173" s="12"/>
      <c r="H173" s="12"/>
      <c r="I173" s="26"/>
      <c r="J173" s="12"/>
      <c r="K173" s="12"/>
      <c r="M173" s="12"/>
      <c r="N173" s="12"/>
      <c r="O173" s="12"/>
      <c r="P173" s="12"/>
      <c r="Q173" s="12"/>
      <c r="R173" s="12"/>
      <c r="S173" s="12"/>
      <c r="T173" s="12"/>
      <c r="V173" s="12"/>
      <c r="W173" s="12"/>
      <c r="X173" s="12"/>
      <c r="Y173" s="12"/>
      <c r="Z173" s="12"/>
      <c r="AA173" s="12"/>
      <c r="AB173" s="12"/>
      <c r="AC173" s="12"/>
    </row>
    <row r="174" spans="1:29" x14ac:dyDescent="0.25">
      <c r="A174" s="12"/>
      <c r="B174" s="12"/>
      <c r="C174" s="26"/>
      <c r="D174" s="12"/>
      <c r="E174" s="12"/>
      <c r="F174" s="28"/>
      <c r="G174" s="12"/>
      <c r="H174" s="12"/>
      <c r="I174" s="26"/>
      <c r="J174" s="12"/>
      <c r="K174" s="12"/>
      <c r="M174" s="12"/>
      <c r="N174" s="12"/>
      <c r="O174" s="12"/>
      <c r="P174" s="12"/>
      <c r="Q174" s="12"/>
      <c r="R174" s="12"/>
      <c r="S174" s="12"/>
      <c r="T174" s="12"/>
      <c r="V174" s="12"/>
      <c r="W174" s="12"/>
      <c r="X174" s="12"/>
      <c r="Y174" s="12"/>
      <c r="Z174" s="12"/>
      <c r="AA174" s="12"/>
      <c r="AB174" s="12"/>
      <c r="AC174" s="12"/>
    </row>
    <row r="175" spans="1:29" x14ac:dyDescent="0.25">
      <c r="A175" s="12"/>
      <c r="B175" s="12"/>
      <c r="C175" s="26"/>
      <c r="D175" s="12"/>
      <c r="E175" s="12"/>
      <c r="F175" s="28"/>
      <c r="G175" s="12"/>
      <c r="H175" s="12"/>
      <c r="I175" s="26"/>
      <c r="J175" s="12"/>
      <c r="K175" s="12"/>
      <c r="M175" s="12"/>
      <c r="N175" s="12"/>
      <c r="O175" s="12"/>
      <c r="P175" s="12"/>
      <c r="Q175" s="12"/>
      <c r="R175" s="12"/>
      <c r="S175" s="12"/>
      <c r="T175" s="12"/>
      <c r="V175" s="12"/>
      <c r="W175" s="12"/>
      <c r="X175" s="12"/>
      <c r="Y175" s="12"/>
      <c r="Z175" s="12"/>
      <c r="AA175" s="12"/>
      <c r="AB175" s="12"/>
      <c r="AC175" s="12"/>
    </row>
    <row r="176" spans="1:29" x14ac:dyDescent="0.25">
      <c r="A176" s="12"/>
      <c r="B176" s="12"/>
      <c r="C176" s="26"/>
      <c r="D176" s="12"/>
      <c r="E176" s="12"/>
      <c r="F176" s="28"/>
      <c r="G176" s="12"/>
      <c r="H176" s="12"/>
      <c r="I176" s="26"/>
      <c r="J176" s="12"/>
      <c r="K176" s="12"/>
      <c r="M176" s="12"/>
      <c r="N176" s="12"/>
      <c r="O176" s="12"/>
      <c r="P176" s="12"/>
      <c r="Q176" s="12"/>
      <c r="R176" s="12"/>
      <c r="S176" s="12"/>
      <c r="T176" s="12"/>
      <c r="V176" s="12"/>
      <c r="W176" s="12"/>
      <c r="X176" s="12"/>
      <c r="Y176" s="12"/>
      <c r="Z176" s="12"/>
      <c r="AA176" s="12"/>
      <c r="AB176" s="12"/>
      <c r="AC176" s="12"/>
    </row>
    <row r="177" spans="1:29" x14ac:dyDescent="0.25">
      <c r="A177" s="12"/>
      <c r="B177" s="12"/>
      <c r="C177" s="26"/>
      <c r="D177" s="12"/>
      <c r="E177" s="12"/>
      <c r="F177" s="28"/>
      <c r="G177" s="12"/>
      <c r="H177" s="12"/>
      <c r="I177" s="26"/>
      <c r="J177" s="12"/>
      <c r="K177" s="12"/>
      <c r="M177" s="12"/>
      <c r="N177" s="12"/>
      <c r="O177" s="12"/>
      <c r="P177" s="12"/>
      <c r="Q177" s="12"/>
      <c r="R177" s="12"/>
      <c r="S177" s="12"/>
      <c r="T177" s="12"/>
      <c r="V177" s="12"/>
      <c r="W177" s="12"/>
      <c r="X177" s="12"/>
      <c r="Y177" s="12"/>
      <c r="Z177" s="12"/>
      <c r="AA177" s="12"/>
      <c r="AB177" s="12"/>
      <c r="AC177" s="12"/>
    </row>
    <row r="178" spans="1:29" x14ac:dyDescent="0.25">
      <c r="A178" s="12"/>
      <c r="B178" s="12"/>
      <c r="C178" s="26"/>
      <c r="D178" s="12"/>
      <c r="E178" s="12"/>
      <c r="F178" s="28"/>
      <c r="G178" s="12"/>
      <c r="H178" s="12"/>
      <c r="I178" s="26"/>
      <c r="J178" s="12"/>
      <c r="K178" s="12"/>
      <c r="M178" s="12"/>
      <c r="N178" s="12"/>
      <c r="O178" s="12"/>
      <c r="P178" s="12"/>
      <c r="Q178" s="12"/>
      <c r="R178" s="12"/>
      <c r="S178" s="12"/>
      <c r="T178" s="12"/>
      <c r="V178" s="12"/>
      <c r="W178" s="12"/>
      <c r="X178" s="12"/>
      <c r="Y178" s="12"/>
      <c r="Z178" s="12"/>
      <c r="AA178" s="12"/>
      <c r="AB178" s="12"/>
      <c r="AC178" s="12"/>
    </row>
    <row r="179" spans="1:29" x14ac:dyDescent="0.25">
      <c r="A179" s="12"/>
      <c r="B179" s="12"/>
      <c r="C179" s="26"/>
      <c r="D179" s="12"/>
      <c r="E179" s="12"/>
      <c r="F179" s="28"/>
      <c r="G179" s="12"/>
      <c r="H179" s="12"/>
      <c r="I179" s="26"/>
      <c r="J179" s="12"/>
      <c r="K179" s="12"/>
      <c r="M179" s="12"/>
      <c r="N179" s="12"/>
      <c r="O179" s="12"/>
      <c r="P179" s="12"/>
      <c r="Q179" s="12"/>
      <c r="R179" s="12"/>
      <c r="S179" s="12"/>
      <c r="T179" s="12"/>
      <c r="V179" s="12"/>
      <c r="W179" s="12"/>
      <c r="X179" s="12"/>
      <c r="Y179" s="12"/>
      <c r="Z179" s="12"/>
      <c r="AA179" s="12"/>
      <c r="AB179" s="12"/>
      <c r="AC179" s="12"/>
    </row>
    <row r="180" spans="1:29" x14ac:dyDescent="0.25">
      <c r="A180" s="12"/>
      <c r="B180" s="12"/>
      <c r="C180" s="26"/>
      <c r="D180" s="12"/>
      <c r="E180" s="12"/>
      <c r="F180" s="28"/>
      <c r="G180" s="12"/>
      <c r="H180" s="12"/>
      <c r="I180" s="26"/>
      <c r="J180" s="12"/>
      <c r="K180" s="12"/>
      <c r="M180" s="12"/>
      <c r="N180" s="12"/>
      <c r="O180" s="12"/>
      <c r="P180" s="12"/>
      <c r="Q180" s="12"/>
      <c r="R180" s="12"/>
      <c r="S180" s="12"/>
      <c r="T180" s="12"/>
      <c r="V180" s="12"/>
      <c r="W180" s="12"/>
      <c r="X180" s="12"/>
      <c r="Y180" s="12"/>
      <c r="Z180" s="12"/>
      <c r="AA180" s="12"/>
      <c r="AB180" s="12"/>
      <c r="AC180" s="12"/>
    </row>
    <row r="181" spans="1:29" x14ac:dyDescent="0.25">
      <c r="A181" s="12"/>
      <c r="B181" s="12"/>
      <c r="C181" s="26"/>
      <c r="D181" s="12"/>
      <c r="E181" s="12"/>
      <c r="F181" s="28"/>
      <c r="G181" s="12"/>
      <c r="H181" s="12"/>
      <c r="I181" s="26"/>
      <c r="J181" s="12"/>
      <c r="K181" s="12"/>
      <c r="M181" s="12"/>
      <c r="N181" s="12"/>
      <c r="O181" s="12"/>
      <c r="P181" s="12"/>
      <c r="Q181" s="12"/>
      <c r="R181" s="12"/>
      <c r="S181" s="12"/>
      <c r="T181" s="12"/>
      <c r="V181" s="12"/>
      <c r="W181" s="12"/>
      <c r="X181" s="12"/>
      <c r="Y181" s="12"/>
      <c r="Z181" s="12"/>
      <c r="AA181" s="12"/>
      <c r="AB181" s="12"/>
      <c r="AC181" s="12"/>
    </row>
    <row r="182" spans="1:29" x14ac:dyDescent="0.25">
      <c r="A182" s="12"/>
      <c r="B182" s="12"/>
      <c r="C182" s="26"/>
      <c r="D182" s="12"/>
      <c r="E182" s="12"/>
      <c r="F182" s="28"/>
      <c r="G182" s="12"/>
      <c r="H182" s="12"/>
      <c r="I182" s="26"/>
      <c r="J182" s="12"/>
      <c r="K182" s="12"/>
      <c r="M182" s="12"/>
      <c r="N182" s="12"/>
      <c r="O182" s="12"/>
      <c r="P182" s="12"/>
      <c r="Q182" s="12"/>
      <c r="R182" s="12"/>
      <c r="S182" s="12"/>
      <c r="T182" s="12"/>
      <c r="V182" s="12"/>
      <c r="W182" s="12"/>
      <c r="X182" s="12"/>
      <c r="Y182" s="12"/>
      <c r="Z182" s="12"/>
      <c r="AA182" s="12"/>
      <c r="AB182" s="12"/>
      <c r="AC182" s="12"/>
    </row>
    <row r="183" spans="1:29" x14ac:dyDescent="0.25">
      <c r="A183" s="12"/>
      <c r="B183" s="12"/>
      <c r="C183" s="26"/>
      <c r="D183" s="12"/>
      <c r="E183" s="12"/>
      <c r="F183" s="28"/>
      <c r="G183" s="12"/>
      <c r="H183" s="12"/>
      <c r="I183" s="26"/>
      <c r="J183" s="12"/>
      <c r="K183" s="12"/>
      <c r="M183" s="12"/>
      <c r="N183" s="12"/>
      <c r="O183" s="12"/>
      <c r="P183" s="12"/>
      <c r="Q183" s="12"/>
      <c r="R183" s="12"/>
      <c r="S183" s="12"/>
      <c r="T183" s="12"/>
      <c r="V183" s="12"/>
      <c r="W183" s="12"/>
      <c r="X183" s="12"/>
      <c r="Y183" s="12"/>
      <c r="Z183" s="12"/>
      <c r="AA183" s="12"/>
      <c r="AB183" s="12"/>
      <c r="AC183" s="12"/>
    </row>
    <row r="184" spans="1:29" x14ac:dyDescent="0.25">
      <c r="A184" s="12"/>
      <c r="B184" s="12"/>
      <c r="C184" s="26"/>
      <c r="D184" s="12"/>
      <c r="E184" s="12"/>
      <c r="F184" s="28"/>
      <c r="G184" s="12"/>
      <c r="H184" s="12"/>
      <c r="I184" s="26"/>
      <c r="J184" s="12"/>
      <c r="K184" s="12"/>
      <c r="M184" s="12"/>
      <c r="N184" s="12"/>
      <c r="O184" s="12"/>
      <c r="P184" s="12"/>
      <c r="Q184" s="12"/>
      <c r="R184" s="12"/>
      <c r="S184" s="12"/>
      <c r="T184" s="12"/>
      <c r="V184" s="12"/>
      <c r="W184" s="12"/>
      <c r="X184" s="12"/>
      <c r="Y184" s="12"/>
      <c r="Z184" s="12"/>
      <c r="AA184" s="12"/>
      <c r="AB184" s="12"/>
      <c r="AC184" s="12"/>
    </row>
    <row r="185" spans="1:29" x14ac:dyDescent="0.25">
      <c r="A185" s="12"/>
      <c r="B185" s="12"/>
      <c r="C185" s="26"/>
      <c r="D185" s="12"/>
      <c r="E185" s="12"/>
      <c r="F185" s="28"/>
      <c r="G185" s="12"/>
      <c r="H185" s="12"/>
      <c r="I185" s="26"/>
      <c r="J185" s="12"/>
      <c r="K185" s="12"/>
      <c r="M185" s="12"/>
      <c r="N185" s="12"/>
      <c r="O185" s="12"/>
      <c r="P185" s="12"/>
      <c r="Q185" s="12"/>
      <c r="R185" s="12"/>
      <c r="S185" s="12"/>
      <c r="T185" s="12"/>
      <c r="V185" s="12"/>
      <c r="W185" s="12"/>
      <c r="X185" s="12"/>
      <c r="Y185" s="12"/>
      <c r="Z185" s="12"/>
      <c r="AA185" s="12"/>
      <c r="AB185" s="12"/>
      <c r="AC185" s="12"/>
    </row>
    <row r="186" spans="1:29" x14ac:dyDescent="0.25">
      <c r="A186" s="12"/>
      <c r="B186" s="12"/>
      <c r="C186" s="26"/>
      <c r="D186" s="12"/>
      <c r="E186" s="12"/>
      <c r="F186" s="28"/>
      <c r="G186" s="12"/>
      <c r="H186" s="12"/>
      <c r="I186" s="26"/>
      <c r="J186" s="12"/>
      <c r="K186" s="12"/>
      <c r="M186" s="12"/>
      <c r="N186" s="12"/>
      <c r="O186" s="12"/>
      <c r="P186" s="12"/>
      <c r="Q186" s="12"/>
      <c r="R186" s="12"/>
      <c r="S186" s="12"/>
      <c r="T186" s="12"/>
      <c r="V186" s="12"/>
      <c r="W186" s="12"/>
      <c r="X186" s="12"/>
      <c r="Y186" s="12"/>
      <c r="Z186" s="12"/>
      <c r="AA186" s="12"/>
      <c r="AB186" s="12"/>
      <c r="AC186" s="12"/>
    </row>
    <row r="187" spans="1:29" x14ac:dyDescent="0.25">
      <c r="A187" s="12"/>
      <c r="B187" s="12"/>
      <c r="C187" s="26"/>
      <c r="D187" s="12"/>
      <c r="E187" s="12"/>
      <c r="F187" s="28"/>
      <c r="G187" s="12"/>
      <c r="H187" s="12"/>
      <c r="I187" s="26"/>
      <c r="J187" s="12"/>
      <c r="K187" s="12"/>
      <c r="M187" s="12"/>
      <c r="N187" s="12"/>
      <c r="O187" s="12"/>
      <c r="P187" s="12"/>
      <c r="Q187" s="12"/>
      <c r="R187" s="12"/>
      <c r="S187" s="12"/>
      <c r="T187" s="12"/>
      <c r="V187" s="12"/>
      <c r="W187" s="12"/>
      <c r="X187" s="12"/>
      <c r="Y187" s="12"/>
      <c r="Z187" s="12"/>
      <c r="AA187" s="12"/>
      <c r="AB187" s="12"/>
      <c r="AC187" s="12"/>
    </row>
    <row r="188" spans="1:29" x14ac:dyDescent="0.25">
      <c r="A188" s="12"/>
      <c r="B188" s="12"/>
      <c r="C188" s="26"/>
      <c r="D188" s="12"/>
      <c r="E188" s="12"/>
      <c r="F188" s="28"/>
      <c r="G188" s="12"/>
      <c r="H188" s="12"/>
      <c r="I188" s="26"/>
      <c r="J188" s="12"/>
      <c r="K188" s="12"/>
      <c r="M188" s="12"/>
      <c r="N188" s="12"/>
      <c r="O188" s="12"/>
      <c r="P188" s="12"/>
      <c r="Q188" s="12"/>
      <c r="R188" s="12"/>
      <c r="S188" s="12"/>
      <c r="T188" s="12"/>
      <c r="V188" s="12"/>
      <c r="W188" s="12"/>
      <c r="X188" s="12"/>
      <c r="Y188" s="12"/>
      <c r="Z188" s="12"/>
      <c r="AA188" s="12"/>
      <c r="AB188" s="12"/>
      <c r="AC188" s="12"/>
    </row>
    <row r="189" spans="1:29" x14ac:dyDescent="0.25">
      <c r="A189" s="12"/>
      <c r="B189" s="12"/>
      <c r="C189" s="26"/>
      <c r="D189" s="12"/>
      <c r="E189" s="12"/>
      <c r="F189" s="28"/>
      <c r="G189" s="12"/>
      <c r="H189" s="12"/>
      <c r="I189" s="26"/>
      <c r="J189" s="12"/>
      <c r="K189" s="12"/>
      <c r="M189" s="12"/>
      <c r="N189" s="12"/>
      <c r="O189" s="12"/>
      <c r="P189" s="12"/>
      <c r="Q189" s="12"/>
      <c r="R189" s="12"/>
      <c r="S189" s="12"/>
      <c r="T189" s="12"/>
      <c r="V189" s="12"/>
      <c r="W189" s="12"/>
      <c r="X189" s="12"/>
      <c r="Y189" s="12"/>
      <c r="Z189" s="12"/>
      <c r="AA189" s="12"/>
      <c r="AB189" s="12"/>
      <c r="AC189" s="12"/>
    </row>
    <row r="190" spans="1:29" x14ac:dyDescent="0.25">
      <c r="A190" s="12"/>
      <c r="B190" s="12"/>
      <c r="C190" s="26"/>
      <c r="D190" s="12"/>
      <c r="E190" s="12"/>
      <c r="F190" s="28"/>
      <c r="G190" s="12"/>
      <c r="H190" s="12"/>
      <c r="I190" s="26"/>
      <c r="J190" s="12"/>
      <c r="K190" s="12"/>
      <c r="M190" s="12"/>
      <c r="N190" s="12"/>
      <c r="O190" s="12"/>
      <c r="P190" s="12"/>
      <c r="Q190" s="12"/>
      <c r="R190" s="12"/>
      <c r="S190" s="12"/>
      <c r="T190" s="12"/>
      <c r="V190" s="12"/>
      <c r="W190" s="12"/>
      <c r="X190" s="12"/>
      <c r="Y190" s="12"/>
      <c r="Z190" s="12"/>
      <c r="AA190" s="12"/>
      <c r="AB190" s="12"/>
      <c r="AC190" s="12"/>
    </row>
    <row r="191" spans="1:29" x14ac:dyDescent="0.25">
      <c r="A191" s="12"/>
      <c r="B191" s="12"/>
      <c r="C191" s="26"/>
      <c r="D191" s="12"/>
      <c r="E191" s="12"/>
      <c r="F191" s="28"/>
      <c r="G191" s="12"/>
      <c r="H191" s="12"/>
      <c r="I191" s="26"/>
      <c r="J191" s="12"/>
      <c r="K191" s="12"/>
      <c r="M191" s="12"/>
      <c r="N191" s="12"/>
      <c r="O191" s="12"/>
      <c r="P191" s="12"/>
      <c r="Q191" s="12"/>
      <c r="R191" s="12"/>
      <c r="S191" s="12"/>
      <c r="T191" s="12"/>
      <c r="V191" s="12"/>
      <c r="W191" s="12"/>
      <c r="X191" s="12"/>
      <c r="Y191" s="12"/>
      <c r="Z191" s="12"/>
      <c r="AA191" s="12"/>
      <c r="AB191" s="12"/>
      <c r="AC191" s="12"/>
    </row>
    <row r="192" spans="1:29" x14ac:dyDescent="0.25">
      <c r="A192" s="12"/>
      <c r="B192" s="12"/>
      <c r="C192" s="26"/>
      <c r="D192" s="12"/>
      <c r="E192" s="12"/>
      <c r="F192" s="28"/>
      <c r="G192" s="12"/>
      <c r="H192" s="12"/>
      <c r="I192" s="26"/>
      <c r="J192" s="12"/>
      <c r="K192" s="12"/>
      <c r="M192" s="12"/>
      <c r="N192" s="12"/>
      <c r="O192" s="12"/>
      <c r="P192" s="12"/>
      <c r="Q192" s="12"/>
      <c r="R192" s="12"/>
      <c r="S192" s="12"/>
      <c r="T192" s="12"/>
      <c r="V192" s="12"/>
      <c r="W192" s="12"/>
      <c r="X192" s="12"/>
      <c r="Y192" s="12"/>
      <c r="Z192" s="12"/>
      <c r="AA192" s="12"/>
      <c r="AB192" s="12"/>
      <c r="AC192" s="12"/>
    </row>
    <row r="193" spans="1:29" x14ac:dyDescent="0.25">
      <c r="A193" s="12"/>
      <c r="B193" s="12"/>
      <c r="C193" s="26"/>
      <c r="D193" s="12"/>
      <c r="E193" s="12"/>
      <c r="F193" s="28"/>
      <c r="G193" s="12"/>
      <c r="H193" s="12"/>
      <c r="I193" s="26"/>
      <c r="J193" s="12"/>
      <c r="K193" s="12"/>
      <c r="M193" s="12"/>
      <c r="N193" s="12"/>
      <c r="O193" s="12"/>
      <c r="P193" s="12"/>
      <c r="Q193" s="12"/>
      <c r="R193" s="12"/>
      <c r="S193" s="12"/>
      <c r="T193" s="12"/>
      <c r="V193" s="12"/>
      <c r="W193" s="12"/>
      <c r="X193" s="12"/>
      <c r="Y193" s="12"/>
      <c r="Z193" s="12"/>
      <c r="AA193" s="12"/>
      <c r="AB193" s="12"/>
      <c r="AC193" s="12"/>
    </row>
    <row r="194" spans="1:29" x14ac:dyDescent="0.25">
      <c r="A194" s="12"/>
      <c r="B194" s="12"/>
      <c r="C194" s="26"/>
      <c r="D194" s="12"/>
      <c r="E194" s="12"/>
      <c r="F194" s="28"/>
      <c r="G194" s="12"/>
      <c r="H194" s="12"/>
      <c r="I194" s="26"/>
      <c r="J194" s="12"/>
      <c r="K194" s="12"/>
      <c r="M194" s="12"/>
      <c r="N194" s="12"/>
      <c r="O194" s="12"/>
      <c r="P194" s="12"/>
      <c r="Q194" s="12"/>
      <c r="R194" s="12"/>
      <c r="S194" s="12"/>
      <c r="T194" s="12"/>
      <c r="V194" s="12"/>
      <c r="W194" s="12"/>
      <c r="X194" s="12"/>
      <c r="Y194" s="12"/>
      <c r="Z194" s="12"/>
      <c r="AA194" s="12"/>
      <c r="AB194" s="12"/>
      <c r="AC194" s="12"/>
    </row>
    <row r="195" spans="1:29" x14ac:dyDescent="0.25">
      <c r="A195" s="12"/>
      <c r="B195" s="12"/>
      <c r="C195" s="26"/>
      <c r="D195" s="12"/>
      <c r="E195" s="12"/>
      <c r="F195" s="28"/>
      <c r="G195" s="12"/>
      <c r="H195" s="12"/>
      <c r="I195" s="26"/>
      <c r="J195" s="12"/>
      <c r="K195" s="12"/>
      <c r="M195" s="12"/>
      <c r="N195" s="12"/>
      <c r="O195" s="12"/>
      <c r="P195" s="12"/>
      <c r="Q195" s="12"/>
      <c r="R195" s="12"/>
      <c r="S195" s="12"/>
      <c r="T195" s="12"/>
      <c r="V195" s="12"/>
      <c r="W195" s="12"/>
      <c r="X195" s="12"/>
      <c r="Y195" s="12"/>
      <c r="Z195" s="12"/>
      <c r="AA195" s="12"/>
      <c r="AB195" s="12"/>
      <c r="AC195" s="12"/>
    </row>
    <row r="196" spans="1:29" x14ac:dyDescent="0.25">
      <c r="A196" s="12"/>
      <c r="B196" s="12"/>
      <c r="C196" s="26"/>
      <c r="D196" s="12"/>
      <c r="E196" s="12"/>
      <c r="F196" s="28"/>
      <c r="G196" s="12"/>
      <c r="H196" s="12"/>
      <c r="I196" s="26"/>
      <c r="J196" s="12"/>
      <c r="K196" s="12"/>
      <c r="M196" s="12"/>
      <c r="N196" s="12"/>
      <c r="O196" s="12"/>
      <c r="P196" s="12"/>
      <c r="Q196" s="12"/>
      <c r="R196" s="12"/>
      <c r="S196" s="12"/>
      <c r="T196" s="12"/>
      <c r="V196" s="12"/>
      <c r="W196" s="12"/>
      <c r="X196" s="12"/>
      <c r="Y196" s="12"/>
      <c r="Z196" s="12"/>
      <c r="AA196" s="12"/>
      <c r="AB196" s="12"/>
      <c r="AC196" s="12"/>
    </row>
    <row r="197" spans="1:29" x14ac:dyDescent="0.25">
      <c r="A197" s="12"/>
      <c r="B197" s="12"/>
      <c r="C197" s="26"/>
      <c r="D197" s="12"/>
      <c r="E197" s="12"/>
      <c r="F197" s="28"/>
      <c r="G197" s="12"/>
      <c r="H197" s="12"/>
      <c r="I197" s="26"/>
      <c r="J197" s="12"/>
      <c r="K197" s="12"/>
      <c r="M197" s="12"/>
      <c r="N197" s="12"/>
      <c r="O197" s="12"/>
      <c r="P197" s="12"/>
      <c r="Q197" s="12"/>
      <c r="R197" s="12"/>
      <c r="S197" s="12"/>
      <c r="T197" s="12"/>
      <c r="V197" s="12"/>
      <c r="W197" s="12"/>
      <c r="X197" s="12"/>
      <c r="Y197" s="12"/>
      <c r="Z197" s="12"/>
      <c r="AA197" s="12"/>
      <c r="AB197" s="12"/>
      <c r="AC197" s="12"/>
    </row>
    <row r="198" spans="1:29" x14ac:dyDescent="0.25">
      <c r="A198" s="12"/>
      <c r="B198" s="12"/>
      <c r="C198" s="26"/>
      <c r="D198" s="12"/>
      <c r="E198" s="12"/>
      <c r="F198" s="28"/>
      <c r="G198" s="12"/>
      <c r="H198" s="12"/>
      <c r="I198" s="26"/>
      <c r="J198" s="12"/>
      <c r="K198" s="12"/>
      <c r="M198" s="12"/>
      <c r="N198" s="12"/>
      <c r="O198" s="12"/>
      <c r="P198" s="12"/>
      <c r="Q198" s="12"/>
      <c r="R198" s="12"/>
      <c r="S198" s="12"/>
      <c r="T198" s="12"/>
      <c r="V198" s="12"/>
      <c r="W198" s="12"/>
      <c r="X198" s="12"/>
      <c r="Y198" s="12"/>
      <c r="Z198" s="12"/>
      <c r="AA198" s="12"/>
      <c r="AB198" s="12"/>
      <c r="AC198" s="12"/>
    </row>
    <row r="199" spans="1:29" x14ac:dyDescent="0.25">
      <c r="A199" s="12"/>
      <c r="B199" s="12"/>
      <c r="C199" s="26"/>
      <c r="D199" s="12"/>
      <c r="E199" s="12"/>
      <c r="F199" s="28"/>
      <c r="G199" s="12"/>
      <c r="H199" s="12"/>
      <c r="I199" s="26"/>
      <c r="J199" s="12"/>
      <c r="K199" s="12"/>
      <c r="M199" s="12"/>
      <c r="N199" s="12"/>
      <c r="O199" s="12"/>
      <c r="P199" s="12"/>
      <c r="Q199" s="12"/>
      <c r="R199" s="12"/>
      <c r="S199" s="12"/>
      <c r="T199" s="12"/>
      <c r="V199" s="12"/>
      <c r="W199" s="12"/>
      <c r="X199" s="12"/>
      <c r="Y199" s="12"/>
      <c r="Z199" s="12"/>
      <c r="AA199" s="12"/>
      <c r="AB199" s="12"/>
      <c r="AC199" s="12"/>
    </row>
    <row r="200" spans="1:29" x14ac:dyDescent="0.25">
      <c r="A200" s="12"/>
      <c r="B200" s="12"/>
      <c r="C200" s="26"/>
      <c r="D200" s="12"/>
      <c r="E200" s="12"/>
      <c r="F200" s="28"/>
      <c r="G200" s="12"/>
      <c r="H200" s="12"/>
      <c r="I200" s="26"/>
      <c r="J200" s="12"/>
      <c r="K200" s="12"/>
      <c r="M200" s="12"/>
      <c r="N200" s="12"/>
      <c r="O200" s="12"/>
      <c r="P200" s="12"/>
      <c r="Q200" s="12"/>
      <c r="R200" s="12"/>
      <c r="S200" s="12"/>
      <c r="T200" s="12"/>
      <c r="V200" s="12"/>
      <c r="W200" s="12"/>
      <c r="X200" s="12"/>
      <c r="Y200" s="12"/>
      <c r="Z200" s="12"/>
      <c r="AA200" s="12"/>
      <c r="AB200" s="12"/>
      <c r="AC200" s="12"/>
    </row>
    <row r="201" spans="1:29" x14ac:dyDescent="0.25">
      <c r="A201" s="12"/>
      <c r="B201" s="12"/>
      <c r="C201" s="26"/>
      <c r="D201" s="12"/>
      <c r="E201" s="12"/>
      <c r="F201" s="28"/>
      <c r="G201" s="12"/>
      <c r="H201" s="12"/>
      <c r="I201" s="26"/>
      <c r="J201" s="12"/>
      <c r="K201" s="12"/>
      <c r="M201" s="12"/>
      <c r="N201" s="12"/>
      <c r="O201" s="12"/>
      <c r="P201" s="12"/>
      <c r="Q201" s="12"/>
      <c r="R201" s="12"/>
      <c r="S201" s="12"/>
      <c r="T201" s="12"/>
      <c r="V201" s="12"/>
      <c r="W201" s="12"/>
      <c r="X201" s="12"/>
      <c r="Y201" s="12"/>
      <c r="Z201" s="12"/>
      <c r="AA201" s="12"/>
      <c r="AB201" s="12"/>
      <c r="AC201" s="12"/>
    </row>
    <row r="202" spans="1:29" x14ac:dyDescent="0.25">
      <c r="A202" s="12"/>
      <c r="B202" s="12"/>
      <c r="C202" s="26"/>
      <c r="D202" s="12"/>
      <c r="E202" s="12"/>
      <c r="F202" s="28"/>
      <c r="G202" s="12"/>
      <c r="H202" s="12"/>
      <c r="I202" s="26"/>
      <c r="J202" s="12"/>
      <c r="K202" s="12"/>
      <c r="M202" s="12"/>
      <c r="N202" s="12"/>
      <c r="O202" s="12"/>
      <c r="P202" s="12"/>
      <c r="Q202" s="12"/>
      <c r="R202" s="12"/>
      <c r="S202" s="12"/>
      <c r="T202" s="12"/>
      <c r="V202" s="12"/>
      <c r="W202" s="12"/>
      <c r="X202" s="12"/>
      <c r="Y202" s="12"/>
      <c r="Z202" s="12"/>
      <c r="AA202" s="12"/>
      <c r="AB202" s="12"/>
      <c r="AC202" s="12"/>
    </row>
    <row r="203" spans="1:29" x14ac:dyDescent="0.25">
      <c r="A203" s="12"/>
      <c r="B203" s="12"/>
      <c r="C203" s="26"/>
      <c r="D203" s="12"/>
      <c r="E203" s="12"/>
      <c r="F203" s="28"/>
      <c r="G203" s="12"/>
      <c r="H203" s="12"/>
      <c r="I203" s="26"/>
      <c r="J203" s="12"/>
      <c r="K203" s="12"/>
      <c r="M203" s="12"/>
      <c r="N203" s="12"/>
      <c r="O203" s="12"/>
      <c r="P203" s="12"/>
      <c r="Q203" s="12"/>
      <c r="R203" s="12"/>
      <c r="S203" s="12"/>
      <c r="T203" s="12"/>
      <c r="V203" s="12"/>
      <c r="W203" s="12"/>
      <c r="X203" s="12"/>
      <c r="Y203" s="12"/>
      <c r="Z203" s="12"/>
      <c r="AA203" s="12"/>
      <c r="AB203" s="12"/>
      <c r="AC203" s="12"/>
    </row>
    <row r="204" spans="1:29" x14ac:dyDescent="0.25">
      <c r="A204" s="12"/>
      <c r="B204" s="12"/>
      <c r="C204" s="26"/>
      <c r="D204" s="12"/>
      <c r="E204" s="12"/>
      <c r="F204" s="28"/>
      <c r="G204" s="12"/>
      <c r="H204" s="12"/>
      <c r="I204" s="26"/>
      <c r="J204" s="12"/>
      <c r="K204" s="12"/>
      <c r="M204" s="12"/>
      <c r="N204" s="12"/>
      <c r="O204" s="12"/>
      <c r="P204" s="12"/>
      <c r="Q204" s="12"/>
      <c r="R204" s="12"/>
      <c r="S204" s="12"/>
      <c r="T204" s="12"/>
      <c r="V204" s="12"/>
      <c r="W204" s="12"/>
      <c r="X204" s="12"/>
      <c r="Y204" s="12"/>
      <c r="Z204" s="12"/>
      <c r="AA204" s="12"/>
      <c r="AB204" s="12"/>
      <c r="AC204" s="12"/>
    </row>
    <row r="205" spans="1:29" x14ac:dyDescent="0.25">
      <c r="A205" s="12"/>
      <c r="B205" s="12"/>
      <c r="C205" s="26"/>
      <c r="D205" s="12"/>
      <c r="E205" s="12"/>
      <c r="F205" s="28"/>
      <c r="G205" s="12"/>
      <c r="H205" s="12"/>
      <c r="I205" s="26"/>
      <c r="J205" s="12"/>
      <c r="K205" s="12"/>
      <c r="M205" s="12"/>
      <c r="N205" s="12"/>
      <c r="O205" s="12"/>
      <c r="P205" s="12"/>
      <c r="Q205" s="12"/>
      <c r="R205" s="12"/>
      <c r="S205" s="12"/>
      <c r="T205" s="12"/>
      <c r="V205" s="12"/>
      <c r="W205" s="12"/>
      <c r="X205" s="12"/>
      <c r="Y205" s="12"/>
      <c r="Z205" s="12"/>
      <c r="AA205" s="12"/>
      <c r="AB205" s="12"/>
      <c r="AC205" s="12"/>
    </row>
    <row r="206" spans="1:29" x14ac:dyDescent="0.25">
      <c r="A206" s="12"/>
      <c r="B206" s="12"/>
      <c r="C206" s="26"/>
      <c r="D206" s="12"/>
      <c r="E206" s="12"/>
      <c r="F206" s="28"/>
      <c r="G206" s="12"/>
      <c r="H206" s="12"/>
      <c r="I206" s="26"/>
      <c r="J206" s="12"/>
      <c r="K206" s="12"/>
      <c r="M206" s="12"/>
      <c r="N206" s="12"/>
      <c r="O206" s="12"/>
      <c r="P206" s="12"/>
      <c r="Q206" s="12"/>
      <c r="R206" s="12"/>
      <c r="S206" s="12"/>
      <c r="T206" s="12"/>
      <c r="V206" s="12"/>
      <c r="W206" s="12"/>
      <c r="X206" s="12"/>
      <c r="Y206" s="12"/>
      <c r="Z206" s="12"/>
      <c r="AA206" s="12"/>
      <c r="AB206" s="12"/>
      <c r="AC206" s="12"/>
    </row>
    <row r="207" spans="1:29" x14ac:dyDescent="0.25">
      <c r="A207" s="12"/>
      <c r="B207" s="12"/>
      <c r="C207" s="26"/>
      <c r="D207" s="12"/>
      <c r="E207" s="12"/>
      <c r="F207" s="28"/>
      <c r="G207" s="12"/>
      <c r="H207" s="12"/>
      <c r="I207" s="26"/>
      <c r="J207" s="12"/>
      <c r="K207" s="12"/>
      <c r="M207" s="12"/>
      <c r="N207" s="12"/>
      <c r="O207" s="12"/>
      <c r="P207" s="12"/>
      <c r="Q207" s="12"/>
      <c r="R207" s="12"/>
      <c r="S207" s="12"/>
      <c r="T207" s="12"/>
      <c r="V207" s="12"/>
      <c r="W207" s="12"/>
      <c r="X207" s="12"/>
      <c r="Y207" s="12"/>
      <c r="Z207" s="12"/>
      <c r="AA207" s="12"/>
      <c r="AB207" s="12"/>
      <c r="AC207" s="12"/>
    </row>
    <row r="208" spans="1:29" x14ac:dyDescent="0.25">
      <c r="A208" s="12"/>
      <c r="B208" s="12"/>
      <c r="C208" s="26"/>
      <c r="D208" s="12"/>
      <c r="E208" s="12"/>
      <c r="F208" s="28"/>
      <c r="G208" s="12"/>
      <c r="H208" s="12"/>
      <c r="I208" s="26"/>
      <c r="J208" s="12"/>
      <c r="K208" s="12"/>
      <c r="M208" s="12"/>
      <c r="N208" s="12"/>
      <c r="O208" s="12"/>
      <c r="P208" s="12"/>
      <c r="Q208" s="12"/>
      <c r="R208" s="12"/>
      <c r="S208" s="12"/>
      <c r="T208" s="12"/>
      <c r="V208" s="12"/>
      <c r="W208" s="12"/>
      <c r="X208" s="12"/>
      <c r="Y208" s="12"/>
      <c r="Z208" s="12"/>
      <c r="AA208" s="12"/>
      <c r="AB208" s="12"/>
      <c r="AC208" s="12"/>
    </row>
    <row r="209" spans="1:29" x14ac:dyDescent="0.25">
      <c r="A209" s="12"/>
      <c r="B209" s="12"/>
      <c r="C209" s="26"/>
      <c r="D209" s="12"/>
      <c r="E209" s="12"/>
      <c r="F209" s="28"/>
      <c r="G209" s="12"/>
      <c r="H209" s="12"/>
      <c r="I209" s="26"/>
      <c r="J209" s="12"/>
      <c r="K209" s="12"/>
      <c r="M209" s="12"/>
      <c r="N209" s="12"/>
      <c r="O209" s="12"/>
      <c r="P209" s="12"/>
      <c r="Q209" s="12"/>
      <c r="R209" s="12"/>
      <c r="S209" s="12"/>
      <c r="T209" s="12"/>
      <c r="V209" s="12"/>
      <c r="W209" s="12"/>
      <c r="X209" s="12"/>
      <c r="Y209" s="12"/>
      <c r="Z209" s="12"/>
      <c r="AA209" s="12"/>
      <c r="AB209" s="12"/>
      <c r="AC209" s="12"/>
    </row>
    <row r="210" spans="1:29" x14ac:dyDescent="0.25">
      <c r="A210" s="12"/>
      <c r="B210" s="12"/>
      <c r="C210" s="26"/>
      <c r="D210" s="12"/>
      <c r="E210" s="12"/>
      <c r="F210" s="28"/>
      <c r="G210" s="12"/>
      <c r="H210" s="12"/>
      <c r="I210" s="26"/>
      <c r="J210" s="12"/>
      <c r="K210" s="12"/>
      <c r="M210" s="12"/>
      <c r="N210" s="12"/>
      <c r="O210" s="12"/>
      <c r="P210" s="12"/>
      <c r="Q210" s="12"/>
      <c r="R210" s="12"/>
      <c r="S210" s="12"/>
      <c r="T210" s="12"/>
      <c r="V210" s="12"/>
      <c r="W210" s="12"/>
      <c r="X210" s="12"/>
      <c r="Y210" s="12"/>
      <c r="Z210" s="12"/>
      <c r="AA210" s="12"/>
      <c r="AB210" s="12"/>
      <c r="AC210" s="12"/>
    </row>
    <row r="211" spans="1:29" x14ac:dyDescent="0.25">
      <c r="A211" s="12"/>
      <c r="B211" s="12"/>
      <c r="C211" s="26"/>
      <c r="D211" s="12"/>
      <c r="E211" s="12"/>
      <c r="F211" s="28"/>
      <c r="G211" s="12"/>
      <c r="H211" s="12"/>
      <c r="I211" s="26"/>
      <c r="J211" s="12"/>
      <c r="K211" s="12"/>
      <c r="M211" s="12"/>
      <c r="N211" s="12"/>
      <c r="O211" s="12"/>
      <c r="P211" s="12"/>
      <c r="Q211" s="12"/>
      <c r="R211" s="12"/>
      <c r="S211" s="12"/>
      <c r="T211" s="12"/>
      <c r="V211" s="12"/>
      <c r="W211" s="12"/>
      <c r="X211" s="12"/>
      <c r="Y211" s="12"/>
      <c r="Z211" s="12"/>
      <c r="AA211" s="12"/>
      <c r="AB211" s="12"/>
      <c r="AC211" s="12"/>
    </row>
    <row r="212" spans="1:29" x14ac:dyDescent="0.25">
      <c r="A212" s="12"/>
      <c r="B212" s="12"/>
      <c r="C212" s="26"/>
      <c r="D212" s="12"/>
      <c r="E212" s="12"/>
      <c r="F212" s="28"/>
      <c r="G212" s="12"/>
      <c r="H212" s="12"/>
      <c r="I212" s="26"/>
      <c r="J212" s="12"/>
      <c r="K212" s="12"/>
      <c r="M212" s="12"/>
      <c r="N212" s="12"/>
      <c r="O212" s="12"/>
      <c r="P212" s="12"/>
      <c r="Q212" s="12"/>
      <c r="R212" s="12"/>
      <c r="S212" s="12"/>
      <c r="T212" s="12"/>
      <c r="V212" s="12"/>
      <c r="W212" s="12"/>
      <c r="X212" s="12"/>
      <c r="Y212" s="12"/>
      <c r="Z212" s="12"/>
      <c r="AA212" s="12"/>
      <c r="AB212" s="12"/>
      <c r="AC212" s="12"/>
    </row>
    <row r="213" spans="1:29" x14ac:dyDescent="0.25">
      <c r="A213" s="12"/>
      <c r="B213" s="12"/>
      <c r="C213" s="26"/>
      <c r="D213" s="12"/>
      <c r="E213" s="12"/>
      <c r="F213" s="28"/>
      <c r="G213" s="12"/>
      <c r="H213" s="12"/>
      <c r="I213" s="26"/>
      <c r="J213" s="12"/>
      <c r="K213" s="12"/>
      <c r="M213" s="12"/>
      <c r="N213" s="12"/>
      <c r="O213" s="12"/>
      <c r="P213" s="12"/>
      <c r="Q213" s="12"/>
      <c r="R213" s="12"/>
      <c r="S213" s="12"/>
      <c r="T213" s="12"/>
      <c r="V213" s="12"/>
      <c r="W213" s="12"/>
      <c r="X213" s="12"/>
      <c r="Y213" s="12"/>
      <c r="Z213" s="12"/>
      <c r="AA213" s="12"/>
      <c r="AB213" s="12"/>
      <c r="AC213" s="12"/>
    </row>
    <row r="214" spans="1:29" x14ac:dyDescent="0.25">
      <c r="A214" s="12"/>
      <c r="B214" s="12"/>
      <c r="C214" s="26"/>
      <c r="D214" s="12"/>
      <c r="E214" s="12"/>
      <c r="F214" s="28"/>
      <c r="G214" s="12"/>
      <c r="H214" s="12"/>
      <c r="I214" s="26"/>
      <c r="J214" s="12"/>
      <c r="K214" s="12"/>
      <c r="M214" s="12"/>
      <c r="N214" s="12"/>
      <c r="O214" s="12"/>
      <c r="P214" s="12"/>
      <c r="Q214" s="12"/>
      <c r="R214" s="12"/>
      <c r="S214" s="12"/>
      <c r="T214" s="12"/>
      <c r="V214" s="12"/>
      <c r="W214" s="12"/>
      <c r="X214" s="12"/>
      <c r="Y214" s="12"/>
      <c r="Z214" s="12"/>
      <c r="AA214" s="12"/>
      <c r="AB214" s="12"/>
      <c r="AC214" s="12"/>
    </row>
    <row r="215" spans="1:29" x14ac:dyDescent="0.25">
      <c r="A215" s="12"/>
      <c r="B215" s="12"/>
      <c r="C215" s="26"/>
      <c r="D215" s="12"/>
      <c r="E215" s="12"/>
      <c r="F215" s="28"/>
      <c r="G215" s="12"/>
      <c r="H215" s="12"/>
      <c r="I215" s="26"/>
      <c r="J215" s="12"/>
      <c r="K215" s="12"/>
      <c r="M215" s="12"/>
      <c r="N215" s="12"/>
      <c r="O215" s="12"/>
      <c r="P215" s="12"/>
      <c r="Q215" s="12"/>
      <c r="R215" s="12"/>
      <c r="S215" s="12"/>
      <c r="T215" s="12"/>
      <c r="V215" s="12"/>
      <c r="W215" s="12"/>
      <c r="X215" s="12"/>
      <c r="Y215" s="12"/>
      <c r="Z215" s="12"/>
      <c r="AA215" s="12"/>
      <c r="AB215" s="12"/>
      <c r="AC215" s="12"/>
    </row>
    <row r="216" spans="1:29" x14ac:dyDescent="0.25">
      <c r="A216" s="12"/>
      <c r="B216" s="12"/>
      <c r="C216" s="26"/>
      <c r="D216" s="12"/>
      <c r="E216" s="12"/>
      <c r="F216" s="28"/>
      <c r="G216" s="12"/>
      <c r="H216" s="12"/>
      <c r="I216" s="26"/>
      <c r="J216" s="12"/>
      <c r="K216" s="12"/>
      <c r="M216" s="12"/>
      <c r="N216" s="12"/>
      <c r="O216" s="12"/>
      <c r="P216" s="12"/>
      <c r="Q216" s="12"/>
      <c r="R216" s="12"/>
      <c r="S216" s="12"/>
      <c r="T216" s="12"/>
      <c r="V216" s="12"/>
      <c r="W216" s="12"/>
      <c r="X216" s="12"/>
      <c r="Y216" s="12"/>
      <c r="Z216" s="12"/>
      <c r="AA216" s="12"/>
      <c r="AB216" s="12"/>
      <c r="AC216" s="12"/>
    </row>
    <row r="217" spans="1:29" x14ac:dyDescent="0.25">
      <c r="A217" s="12"/>
      <c r="B217" s="12"/>
      <c r="C217" s="26"/>
      <c r="D217" s="12"/>
      <c r="E217" s="12"/>
      <c r="F217" s="28"/>
      <c r="G217" s="12"/>
      <c r="H217" s="12"/>
      <c r="I217" s="26"/>
      <c r="J217" s="12"/>
      <c r="K217" s="12"/>
      <c r="M217" s="12"/>
      <c r="N217" s="12"/>
      <c r="O217" s="12"/>
      <c r="P217" s="12"/>
      <c r="Q217" s="12"/>
      <c r="R217" s="12"/>
      <c r="S217" s="12"/>
      <c r="T217" s="12"/>
      <c r="V217" s="12"/>
      <c r="W217" s="12"/>
      <c r="X217" s="12"/>
      <c r="Y217" s="12"/>
      <c r="Z217" s="12"/>
      <c r="AA217" s="12"/>
      <c r="AB217" s="12"/>
      <c r="AC217" s="12"/>
    </row>
    <row r="218" spans="1:29" x14ac:dyDescent="0.25">
      <c r="A218" s="12"/>
      <c r="B218" s="12"/>
      <c r="C218" s="26"/>
      <c r="D218" s="12"/>
      <c r="E218" s="12"/>
      <c r="F218" s="28"/>
      <c r="G218" s="12"/>
      <c r="H218" s="12"/>
      <c r="I218" s="26"/>
      <c r="J218" s="12"/>
      <c r="K218" s="12"/>
      <c r="M218" s="12"/>
      <c r="N218" s="12"/>
      <c r="O218" s="12"/>
      <c r="P218" s="12"/>
      <c r="Q218" s="12"/>
      <c r="R218" s="12"/>
      <c r="S218" s="12"/>
      <c r="T218" s="12"/>
      <c r="V218" s="12"/>
      <c r="W218" s="12"/>
      <c r="X218" s="12"/>
      <c r="Y218" s="12"/>
      <c r="Z218" s="12"/>
      <c r="AA218" s="12"/>
      <c r="AB218" s="12"/>
      <c r="AC218" s="12"/>
    </row>
    <row r="219" spans="1:29" x14ac:dyDescent="0.25">
      <c r="A219" s="12"/>
      <c r="B219" s="12"/>
      <c r="C219" s="26"/>
      <c r="D219" s="12"/>
      <c r="E219" s="12"/>
      <c r="F219" s="28"/>
      <c r="G219" s="12"/>
      <c r="H219" s="12"/>
      <c r="I219" s="26"/>
      <c r="J219" s="12"/>
      <c r="K219" s="12"/>
      <c r="M219" s="12"/>
      <c r="N219" s="12"/>
      <c r="O219" s="12"/>
      <c r="P219" s="12"/>
      <c r="Q219" s="12"/>
      <c r="R219" s="12"/>
      <c r="S219" s="12"/>
      <c r="T219" s="12"/>
      <c r="V219" s="12"/>
      <c r="W219" s="12"/>
      <c r="X219" s="12"/>
      <c r="Y219" s="12"/>
      <c r="Z219" s="12"/>
      <c r="AA219" s="12"/>
      <c r="AB219" s="12"/>
      <c r="AC219" s="12"/>
    </row>
    <row r="220" spans="1:29" x14ac:dyDescent="0.25">
      <c r="A220" s="12"/>
      <c r="B220" s="12"/>
      <c r="C220" s="26"/>
      <c r="D220" s="12"/>
      <c r="E220" s="12"/>
      <c r="F220" s="28"/>
      <c r="G220" s="12"/>
      <c r="H220" s="12"/>
      <c r="I220" s="26"/>
      <c r="J220" s="12"/>
      <c r="K220" s="12"/>
      <c r="M220" s="12"/>
      <c r="N220" s="12"/>
      <c r="O220" s="12"/>
      <c r="P220" s="12"/>
      <c r="Q220" s="12"/>
      <c r="R220" s="12"/>
      <c r="S220" s="12"/>
      <c r="T220" s="12"/>
      <c r="V220" s="12"/>
      <c r="W220" s="12"/>
      <c r="X220" s="12"/>
      <c r="Y220" s="12"/>
      <c r="Z220" s="12"/>
      <c r="AA220" s="12"/>
      <c r="AB220" s="12"/>
      <c r="AC220" s="12"/>
    </row>
    <row r="221" spans="1:29" x14ac:dyDescent="0.25">
      <c r="A221" s="12"/>
      <c r="B221" s="12"/>
      <c r="C221" s="26"/>
      <c r="D221" s="12"/>
      <c r="E221" s="12"/>
      <c r="F221" s="28"/>
      <c r="G221" s="12"/>
      <c r="H221" s="12"/>
      <c r="I221" s="26"/>
      <c r="J221" s="12"/>
      <c r="K221" s="12"/>
      <c r="M221" s="12"/>
      <c r="N221" s="12"/>
      <c r="O221" s="12"/>
      <c r="P221" s="12"/>
      <c r="Q221" s="12"/>
      <c r="R221" s="12"/>
      <c r="S221" s="12"/>
      <c r="T221" s="12"/>
      <c r="V221" s="12"/>
      <c r="W221" s="12"/>
      <c r="X221" s="12"/>
      <c r="Y221" s="12"/>
      <c r="Z221" s="12"/>
      <c r="AA221" s="12"/>
      <c r="AB221" s="12"/>
      <c r="AC221" s="12"/>
    </row>
    <row r="222" spans="1:29" x14ac:dyDescent="0.25">
      <c r="A222" s="12"/>
      <c r="B222" s="12"/>
      <c r="C222" s="26"/>
      <c r="D222" s="12"/>
      <c r="E222" s="12"/>
      <c r="F222" s="28"/>
      <c r="G222" s="12"/>
      <c r="H222" s="12"/>
      <c r="I222" s="26"/>
      <c r="J222" s="12"/>
      <c r="K222" s="12"/>
      <c r="M222" s="12"/>
      <c r="N222" s="12"/>
      <c r="O222" s="12"/>
      <c r="P222" s="12"/>
      <c r="Q222" s="12"/>
      <c r="R222" s="12"/>
      <c r="S222" s="12"/>
      <c r="T222" s="12"/>
      <c r="V222" s="12"/>
      <c r="W222" s="12"/>
      <c r="X222" s="12"/>
      <c r="Y222" s="12"/>
      <c r="Z222" s="12"/>
      <c r="AA222" s="12"/>
      <c r="AB222" s="12"/>
      <c r="AC222" s="12"/>
    </row>
    <row r="223" spans="1:29" x14ac:dyDescent="0.25">
      <c r="A223" s="12"/>
      <c r="B223" s="12"/>
      <c r="C223" s="26"/>
      <c r="D223" s="12"/>
      <c r="E223" s="12"/>
      <c r="F223" s="28"/>
      <c r="G223" s="12"/>
      <c r="H223" s="12"/>
      <c r="I223" s="26"/>
      <c r="J223" s="12"/>
      <c r="K223" s="12"/>
      <c r="M223" s="12"/>
      <c r="N223" s="12"/>
      <c r="O223" s="12"/>
      <c r="P223" s="12"/>
      <c r="Q223" s="12"/>
      <c r="R223" s="12"/>
      <c r="S223" s="12"/>
      <c r="T223" s="12"/>
      <c r="V223" s="12"/>
      <c r="W223" s="12"/>
      <c r="X223" s="12"/>
      <c r="Y223" s="12"/>
      <c r="Z223" s="12"/>
      <c r="AA223" s="12"/>
      <c r="AB223" s="12"/>
      <c r="AC223" s="12"/>
    </row>
    <row r="224" spans="1:29" x14ac:dyDescent="0.25">
      <c r="A224" s="12"/>
      <c r="B224" s="12"/>
      <c r="C224" s="26"/>
      <c r="D224" s="12"/>
      <c r="E224" s="12"/>
      <c r="F224" s="28"/>
      <c r="G224" s="12"/>
      <c r="H224" s="12"/>
      <c r="I224" s="26"/>
      <c r="J224" s="12"/>
      <c r="K224" s="12"/>
      <c r="M224" s="12"/>
      <c r="N224" s="12"/>
      <c r="O224" s="12"/>
      <c r="P224" s="12"/>
      <c r="Q224" s="12"/>
      <c r="R224" s="12"/>
      <c r="S224" s="12"/>
      <c r="T224" s="12"/>
      <c r="V224" s="12"/>
      <c r="W224" s="12"/>
      <c r="X224" s="12"/>
      <c r="Y224" s="12"/>
      <c r="Z224" s="12"/>
      <c r="AA224" s="12"/>
      <c r="AB224" s="12"/>
      <c r="AC224" s="12"/>
    </row>
    <row r="225" spans="1:29" x14ac:dyDescent="0.25">
      <c r="A225" s="12"/>
      <c r="B225" s="12"/>
      <c r="C225" s="26"/>
      <c r="D225" s="12"/>
      <c r="E225" s="12"/>
      <c r="F225" s="28"/>
      <c r="G225" s="12"/>
      <c r="H225" s="12"/>
      <c r="I225" s="26"/>
      <c r="J225" s="12"/>
      <c r="K225" s="12"/>
      <c r="M225" s="12"/>
      <c r="N225" s="12"/>
      <c r="O225" s="12"/>
      <c r="P225" s="12"/>
      <c r="Q225" s="12"/>
      <c r="R225" s="12"/>
      <c r="S225" s="12"/>
      <c r="T225" s="12"/>
      <c r="V225" s="12"/>
      <c r="W225" s="12"/>
      <c r="X225" s="12"/>
      <c r="Y225" s="12"/>
      <c r="Z225" s="12"/>
      <c r="AA225" s="12"/>
      <c r="AB225" s="12"/>
      <c r="AC225" s="12"/>
    </row>
    <row r="226" spans="1:29" x14ac:dyDescent="0.25">
      <c r="A226" s="12"/>
      <c r="B226" s="12"/>
      <c r="C226" s="26"/>
      <c r="D226" s="12"/>
      <c r="E226" s="12"/>
      <c r="F226" s="28"/>
      <c r="G226" s="12"/>
      <c r="H226" s="12"/>
      <c r="I226" s="26"/>
      <c r="J226" s="12"/>
      <c r="K226" s="12"/>
      <c r="M226" s="12"/>
      <c r="N226" s="12"/>
      <c r="O226" s="12"/>
      <c r="P226" s="12"/>
      <c r="Q226" s="12"/>
      <c r="R226" s="12"/>
      <c r="S226" s="12"/>
      <c r="T226" s="12"/>
      <c r="V226" s="12"/>
      <c r="W226" s="12"/>
      <c r="X226" s="12"/>
      <c r="Y226" s="12"/>
      <c r="Z226" s="12"/>
      <c r="AA226" s="12"/>
      <c r="AB226" s="12"/>
      <c r="AC226" s="12"/>
    </row>
    <row r="227" spans="1:29" x14ac:dyDescent="0.25">
      <c r="A227" s="12"/>
      <c r="B227" s="12"/>
      <c r="C227" s="26"/>
      <c r="D227" s="12"/>
      <c r="E227" s="12"/>
      <c r="F227" s="28"/>
      <c r="G227" s="12"/>
      <c r="H227" s="12"/>
      <c r="I227" s="26"/>
      <c r="J227" s="12"/>
      <c r="K227" s="12"/>
      <c r="M227" s="12"/>
      <c r="N227" s="12"/>
      <c r="O227" s="12"/>
      <c r="P227" s="12"/>
      <c r="Q227" s="12"/>
      <c r="R227" s="12"/>
      <c r="S227" s="12"/>
      <c r="T227" s="12"/>
      <c r="V227" s="12"/>
      <c r="W227" s="12"/>
      <c r="X227" s="12"/>
      <c r="Y227" s="12"/>
      <c r="Z227" s="12"/>
      <c r="AA227" s="12"/>
      <c r="AB227" s="12"/>
      <c r="AC227" s="12"/>
    </row>
    <row r="228" spans="1:29" x14ac:dyDescent="0.25">
      <c r="A228" s="12"/>
      <c r="B228" s="12"/>
      <c r="C228" s="26"/>
      <c r="D228" s="12"/>
      <c r="E228" s="12"/>
      <c r="F228" s="28"/>
      <c r="G228" s="12"/>
      <c r="H228" s="12"/>
      <c r="I228" s="26"/>
      <c r="J228" s="12"/>
      <c r="K228" s="12"/>
      <c r="M228" s="12"/>
      <c r="N228" s="12"/>
      <c r="O228" s="12"/>
      <c r="P228" s="12"/>
      <c r="Q228" s="12"/>
      <c r="R228" s="12"/>
      <c r="S228" s="12"/>
      <c r="T228" s="12"/>
      <c r="V228" s="12"/>
      <c r="W228" s="12"/>
      <c r="X228" s="12"/>
      <c r="Y228" s="12"/>
      <c r="Z228" s="12"/>
      <c r="AA228" s="12"/>
      <c r="AB228" s="12"/>
      <c r="AC228" s="12"/>
    </row>
    <row r="229" spans="1:29" x14ac:dyDescent="0.25">
      <c r="A229" s="12"/>
      <c r="B229" s="12"/>
      <c r="C229" s="26"/>
      <c r="D229" s="12"/>
      <c r="E229" s="12"/>
      <c r="F229" s="28"/>
      <c r="G229" s="12"/>
      <c r="H229" s="12"/>
      <c r="I229" s="26"/>
      <c r="J229" s="12"/>
      <c r="K229" s="12"/>
      <c r="M229" s="12"/>
      <c r="N229" s="12"/>
      <c r="O229" s="12"/>
      <c r="P229" s="12"/>
      <c r="Q229" s="12"/>
      <c r="R229" s="12"/>
      <c r="S229" s="12"/>
      <c r="T229" s="12"/>
      <c r="V229" s="12"/>
      <c r="W229" s="12"/>
      <c r="X229" s="12"/>
      <c r="Y229" s="12"/>
      <c r="Z229" s="12"/>
      <c r="AA229" s="12"/>
      <c r="AB229" s="12"/>
      <c r="AC229" s="12"/>
    </row>
    <row r="230" spans="1:29" x14ac:dyDescent="0.25">
      <c r="A230" s="12"/>
      <c r="B230" s="12"/>
      <c r="C230" s="26"/>
      <c r="D230" s="12"/>
      <c r="E230" s="12"/>
      <c r="F230" s="28"/>
      <c r="G230" s="12"/>
      <c r="H230" s="12"/>
      <c r="I230" s="26"/>
      <c r="J230" s="12"/>
      <c r="K230" s="12"/>
      <c r="M230" s="12"/>
      <c r="N230" s="12"/>
      <c r="O230" s="12"/>
      <c r="P230" s="12"/>
      <c r="Q230" s="12"/>
      <c r="R230" s="12"/>
      <c r="S230" s="12"/>
      <c r="T230" s="12"/>
      <c r="V230" s="12"/>
      <c r="W230" s="12"/>
      <c r="X230" s="12"/>
      <c r="Y230" s="12"/>
      <c r="Z230" s="12"/>
      <c r="AA230" s="12"/>
      <c r="AB230" s="12"/>
      <c r="AC230" s="12"/>
    </row>
    <row r="231" spans="1:29" x14ac:dyDescent="0.25">
      <c r="A231" s="12"/>
      <c r="B231" s="12"/>
      <c r="C231" s="26"/>
      <c r="D231" s="12"/>
      <c r="E231" s="12"/>
      <c r="F231" s="28"/>
      <c r="G231" s="12"/>
      <c r="H231" s="12"/>
      <c r="I231" s="26"/>
      <c r="J231" s="12"/>
      <c r="K231" s="12"/>
      <c r="M231" s="12"/>
      <c r="N231" s="12"/>
      <c r="O231" s="12"/>
      <c r="P231" s="12"/>
      <c r="Q231" s="12"/>
      <c r="R231" s="12"/>
      <c r="S231" s="12"/>
      <c r="T231" s="12"/>
      <c r="V231" s="12"/>
      <c r="W231" s="12"/>
      <c r="X231" s="12"/>
      <c r="Y231" s="12"/>
      <c r="Z231" s="12"/>
      <c r="AA231" s="12"/>
      <c r="AB231" s="12"/>
      <c r="AC231" s="12"/>
    </row>
    <row r="232" spans="1:29" x14ac:dyDescent="0.25">
      <c r="A232" s="12"/>
      <c r="B232" s="12"/>
      <c r="C232" s="26"/>
      <c r="D232" s="12"/>
      <c r="E232" s="12"/>
      <c r="F232" s="28"/>
      <c r="G232" s="12"/>
      <c r="H232" s="12"/>
      <c r="I232" s="26"/>
      <c r="J232" s="12"/>
      <c r="K232" s="12"/>
      <c r="M232" s="12"/>
      <c r="N232" s="12"/>
      <c r="O232" s="12"/>
      <c r="P232" s="12"/>
      <c r="Q232" s="12"/>
      <c r="R232" s="12"/>
      <c r="S232" s="12"/>
      <c r="T232" s="12"/>
      <c r="V232" s="12"/>
      <c r="W232" s="12"/>
      <c r="X232" s="12"/>
      <c r="Y232" s="12"/>
      <c r="Z232" s="12"/>
      <c r="AA232" s="12"/>
      <c r="AB232" s="12"/>
      <c r="AC232" s="12"/>
    </row>
    <row r="233" spans="1:29" x14ac:dyDescent="0.25">
      <c r="A233" s="12"/>
      <c r="B233" s="12"/>
      <c r="C233" s="26"/>
      <c r="D233" s="12"/>
      <c r="E233" s="12"/>
      <c r="F233" s="28"/>
      <c r="G233" s="12"/>
      <c r="H233" s="12"/>
      <c r="I233" s="26"/>
      <c r="J233" s="12"/>
      <c r="K233" s="12"/>
      <c r="M233" s="12"/>
      <c r="N233" s="12"/>
      <c r="O233" s="12"/>
      <c r="P233" s="12"/>
      <c r="Q233" s="12"/>
      <c r="R233" s="12"/>
      <c r="S233" s="12"/>
      <c r="T233" s="12"/>
      <c r="V233" s="12"/>
      <c r="W233" s="12"/>
      <c r="X233" s="12"/>
      <c r="Y233" s="12"/>
      <c r="Z233" s="12"/>
      <c r="AA233" s="12"/>
      <c r="AB233" s="12"/>
      <c r="AC233" s="12"/>
    </row>
    <row r="234" spans="1:29" x14ac:dyDescent="0.25">
      <c r="A234" s="12"/>
      <c r="B234" s="12"/>
      <c r="C234" s="26"/>
      <c r="D234" s="12"/>
      <c r="E234" s="12"/>
      <c r="F234" s="28"/>
      <c r="G234" s="12"/>
      <c r="H234" s="12"/>
      <c r="I234" s="26"/>
      <c r="J234" s="12"/>
      <c r="K234" s="12"/>
      <c r="M234" s="12"/>
      <c r="N234" s="12"/>
      <c r="O234" s="12"/>
      <c r="P234" s="12"/>
      <c r="Q234" s="12"/>
      <c r="R234" s="12"/>
      <c r="S234" s="12"/>
      <c r="T234" s="12"/>
      <c r="V234" s="12"/>
      <c r="W234" s="12"/>
      <c r="X234" s="12"/>
      <c r="Y234" s="12"/>
      <c r="Z234" s="12"/>
      <c r="AA234" s="12"/>
      <c r="AB234" s="12"/>
      <c r="AC234" s="12"/>
    </row>
    <row r="235" spans="1:29" x14ac:dyDescent="0.25">
      <c r="A235" s="12"/>
      <c r="B235" s="12"/>
      <c r="C235" s="26"/>
      <c r="D235" s="12"/>
      <c r="E235" s="12"/>
      <c r="F235" s="28"/>
      <c r="G235" s="12"/>
      <c r="H235" s="12"/>
      <c r="I235" s="26"/>
      <c r="J235" s="12"/>
      <c r="K235" s="12"/>
      <c r="M235" s="12"/>
      <c r="N235" s="12"/>
      <c r="O235" s="12"/>
      <c r="P235" s="12"/>
      <c r="Q235" s="12"/>
      <c r="R235" s="12"/>
      <c r="S235" s="12"/>
      <c r="T235" s="12"/>
      <c r="V235" s="12"/>
      <c r="W235" s="12"/>
      <c r="X235" s="12"/>
      <c r="Y235" s="12"/>
      <c r="Z235" s="12"/>
      <c r="AA235" s="12"/>
      <c r="AB235" s="12"/>
      <c r="AC235" s="12"/>
    </row>
    <row r="236" spans="1:29" x14ac:dyDescent="0.25">
      <c r="A236" s="12"/>
      <c r="B236" s="12"/>
      <c r="C236" s="26"/>
      <c r="D236" s="12"/>
      <c r="E236" s="12"/>
      <c r="F236" s="28"/>
      <c r="G236" s="12"/>
      <c r="H236" s="12"/>
      <c r="I236" s="26"/>
      <c r="J236" s="12"/>
      <c r="K236" s="12"/>
      <c r="M236" s="12"/>
      <c r="N236" s="12"/>
      <c r="O236" s="12"/>
      <c r="P236" s="12"/>
      <c r="Q236" s="12"/>
      <c r="R236" s="12"/>
      <c r="S236" s="12"/>
      <c r="T236" s="12"/>
      <c r="V236" s="12"/>
      <c r="W236" s="12"/>
      <c r="X236" s="12"/>
      <c r="Y236" s="12"/>
      <c r="Z236" s="12"/>
      <c r="AA236" s="12"/>
      <c r="AB236" s="12"/>
      <c r="AC236" s="12"/>
    </row>
    <row r="237" spans="1:29" x14ac:dyDescent="0.25">
      <c r="A237" s="12"/>
      <c r="B237" s="12"/>
      <c r="C237" s="26"/>
      <c r="D237" s="12"/>
      <c r="E237" s="12"/>
      <c r="F237" s="28"/>
      <c r="G237" s="12"/>
      <c r="H237" s="12"/>
      <c r="I237" s="26"/>
      <c r="J237" s="12"/>
      <c r="K237" s="12"/>
      <c r="M237" s="12"/>
      <c r="N237" s="12"/>
      <c r="O237" s="12"/>
      <c r="P237" s="12"/>
      <c r="Q237" s="12"/>
      <c r="R237" s="12"/>
      <c r="S237" s="12"/>
      <c r="T237" s="12"/>
      <c r="V237" s="12"/>
      <c r="W237" s="12"/>
      <c r="X237" s="12"/>
      <c r="Y237" s="12"/>
      <c r="Z237" s="12"/>
      <c r="AA237" s="12"/>
      <c r="AB237" s="12"/>
      <c r="AC237" s="12"/>
    </row>
    <row r="238" spans="1:29" x14ac:dyDescent="0.25">
      <c r="A238" s="12"/>
      <c r="B238" s="12"/>
      <c r="C238" s="26"/>
      <c r="D238" s="12"/>
      <c r="E238" s="12"/>
      <c r="F238" s="28"/>
      <c r="G238" s="12"/>
      <c r="H238" s="12"/>
      <c r="I238" s="26"/>
      <c r="J238" s="12"/>
      <c r="K238" s="12"/>
      <c r="M238" s="12"/>
      <c r="N238" s="12"/>
      <c r="O238" s="12"/>
      <c r="P238" s="12"/>
      <c r="Q238" s="12"/>
      <c r="R238" s="12"/>
      <c r="S238" s="12"/>
      <c r="T238" s="12"/>
      <c r="V238" s="12"/>
      <c r="W238" s="12"/>
      <c r="X238" s="12"/>
      <c r="Y238" s="12"/>
      <c r="Z238" s="12"/>
      <c r="AA238" s="12"/>
      <c r="AB238" s="12"/>
      <c r="AC238" s="12"/>
    </row>
    <row r="239" spans="1:29" x14ac:dyDescent="0.25">
      <c r="A239" s="12"/>
      <c r="B239" s="12"/>
      <c r="C239" s="26"/>
      <c r="D239" s="12"/>
      <c r="E239" s="12"/>
      <c r="F239" s="28"/>
      <c r="G239" s="12"/>
      <c r="H239" s="12"/>
      <c r="I239" s="26"/>
      <c r="J239" s="12"/>
      <c r="K239" s="12"/>
      <c r="M239" s="12"/>
      <c r="N239" s="12"/>
      <c r="O239" s="12"/>
      <c r="P239" s="12"/>
      <c r="Q239" s="12"/>
      <c r="R239" s="12"/>
      <c r="S239" s="12"/>
      <c r="T239" s="12"/>
      <c r="V239" s="12"/>
      <c r="W239" s="12"/>
      <c r="X239" s="12"/>
      <c r="Y239" s="12"/>
      <c r="Z239" s="12"/>
      <c r="AA239" s="12"/>
      <c r="AB239" s="12"/>
      <c r="AC239" s="12"/>
    </row>
    <row r="240" spans="1:29" x14ac:dyDescent="0.25">
      <c r="A240" s="12"/>
      <c r="B240" s="12"/>
      <c r="C240" s="26"/>
      <c r="D240" s="12"/>
      <c r="E240" s="12"/>
      <c r="F240" s="28"/>
      <c r="G240" s="12"/>
      <c r="H240" s="12"/>
      <c r="I240" s="26"/>
      <c r="J240" s="12"/>
      <c r="K240" s="12"/>
      <c r="M240" s="12"/>
      <c r="N240" s="12"/>
      <c r="O240" s="12"/>
      <c r="P240" s="12"/>
      <c r="Q240" s="12"/>
      <c r="R240" s="12"/>
      <c r="S240" s="12"/>
      <c r="T240" s="12"/>
      <c r="V240" s="12"/>
      <c r="W240" s="12"/>
      <c r="X240" s="12"/>
      <c r="Y240" s="12"/>
      <c r="Z240" s="12"/>
      <c r="AA240" s="12"/>
      <c r="AB240" s="12"/>
      <c r="AC240" s="12"/>
    </row>
    <row r="241" spans="1:29" x14ac:dyDescent="0.25">
      <c r="A241" s="12"/>
      <c r="B241" s="12"/>
      <c r="C241" s="26"/>
      <c r="D241" s="12"/>
      <c r="E241" s="12"/>
      <c r="F241" s="28"/>
      <c r="G241" s="12"/>
      <c r="H241" s="12"/>
      <c r="I241" s="26"/>
      <c r="J241" s="12"/>
      <c r="K241" s="12"/>
      <c r="M241" s="12"/>
      <c r="N241" s="12"/>
      <c r="O241" s="12"/>
      <c r="P241" s="12"/>
      <c r="Q241" s="12"/>
      <c r="R241" s="12"/>
      <c r="S241" s="12"/>
      <c r="T241" s="12"/>
      <c r="V241" s="12"/>
      <c r="W241" s="12"/>
      <c r="X241" s="12"/>
      <c r="Y241" s="12"/>
      <c r="Z241" s="12"/>
      <c r="AA241" s="12"/>
      <c r="AB241" s="12"/>
      <c r="AC241" s="12"/>
    </row>
    <row r="242" spans="1:29" x14ac:dyDescent="0.25">
      <c r="A242" s="12"/>
      <c r="B242" s="12"/>
      <c r="C242" s="26"/>
      <c r="D242" s="12"/>
      <c r="E242" s="12"/>
      <c r="F242" s="28"/>
      <c r="G242" s="12"/>
      <c r="H242" s="12"/>
      <c r="I242" s="26"/>
      <c r="J242" s="12"/>
      <c r="K242" s="12"/>
      <c r="M242" s="12"/>
      <c r="N242" s="12"/>
      <c r="O242" s="12"/>
      <c r="P242" s="12"/>
      <c r="Q242" s="12"/>
      <c r="R242" s="12"/>
      <c r="S242" s="12"/>
      <c r="T242" s="12"/>
      <c r="V242" s="12"/>
      <c r="W242" s="12"/>
      <c r="X242" s="12"/>
      <c r="Y242" s="12"/>
      <c r="Z242" s="12"/>
      <c r="AA242" s="12"/>
      <c r="AB242" s="12"/>
      <c r="AC242" s="12"/>
    </row>
    <row r="243" spans="1:29" x14ac:dyDescent="0.25">
      <c r="A243" s="12"/>
      <c r="B243" s="12"/>
      <c r="C243" s="26"/>
      <c r="D243" s="12"/>
      <c r="E243" s="12"/>
      <c r="F243" s="28"/>
      <c r="G243" s="12"/>
      <c r="H243" s="12"/>
      <c r="I243" s="26"/>
      <c r="J243" s="12"/>
      <c r="K243" s="12"/>
      <c r="M243" s="12"/>
      <c r="N243" s="12"/>
      <c r="O243" s="12"/>
      <c r="P243" s="12"/>
      <c r="Q243" s="12"/>
      <c r="R243" s="12"/>
      <c r="S243" s="12"/>
      <c r="T243" s="12"/>
      <c r="V243" s="12"/>
      <c r="W243" s="12"/>
      <c r="X243" s="12"/>
      <c r="Y243" s="12"/>
      <c r="Z243" s="12"/>
      <c r="AA243" s="12"/>
      <c r="AB243" s="12"/>
      <c r="AC243" s="12"/>
    </row>
    <row r="244" spans="1:29" x14ac:dyDescent="0.25">
      <c r="A244" s="12"/>
      <c r="B244" s="12"/>
      <c r="C244" s="26"/>
      <c r="D244" s="12"/>
      <c r="E244" s="12"/>
      <c r="F244" s="28"/>
      <c r="G244" s="12"/>
      <c r="H244" s="12"/>
      <c r="I244" s="26"/>
      <c r="J244" s="12"/>
      <c r="K244" s="12"/>
      <c r="M244" s="12"/>
      <c r="N244" s="12"/>
      <c r="O244" s="12"/>
      <c r="P244" s="12"/>
      <c r="Q244" s="12"/>
      <c r="R244" s="12"/>
      <c r="S244" s="12"/>
      <c r="T244" s="12"/>
      <c r="V244" s="12"/>
      <c r="W244" s="12"/>
      <c r="X244" s="12"/>
      <c r="Y244" s="12"/>
      <c r="Z244" s="12"/>
      <c r="AA244" s="12"/>
      <c r="AB244" s="12"/>
      <c r="AC244" s="12"/>
    </row>
    <row r="245" spans="1:29" x14ac:dyDescent="0.25">
      <c r="A245" s="12"/>
      <c r="B245" s="12"/>
      <c r="C245" s="26"/>
      <c r="D245" s="12"/>
      <c r="E245" s="12"/>
      <c r="F245" s="28"/>
      <c r="G245" s="12"/>
      <c r="H245" s="12"/>
      <c r="I245" s="26"/>
      <c r="J245" s="12"/>
      <c r="K245" s="12"/>
      <c r="M245" s="12"/>
      <c r="N245" s="12"/>
      <c r="O245" s="12"/>
      <c r="P245" s="12"/>
      <c r="Q245" s="12"/>
      <c r="R245" s="12"/>
      <c r="S245" s="12"/>
      <c r="T245" s="12"/>
      <c r="V245" s="12"/>
      <c r="W245" s="12"/>
      <c r="X245" s="12"/>
      <c r="Y245" s="12"/>
      <c r="Z245" s="12"/>
      <c r="AA245" s="12"/>
      <c r="AB245" s="12"/>
      <c r="AC245" s="12"/>
    </row>
    <row r="246" spans="1:29" x14ac:dyDescent="0.25">
      <c r="A246" s="12"/>
      <c r="B246" s="12"/>
      <c r="C246" s="26"/>
      <c r="D246" s="12"/>
      <c r="E246" s="12"/>
      <c r="F246" s="28"/>
      <c r="G246" s="12"/>
      <c r="H246" s="12"/>
      <c r="I246" s="26"/>
      <c r="J246" s="12"/>
      <c r="K246" s="12"/>
      <c r="M246" s="12"/>
      <c r="N246" s="12"/>
      <c r="O246" s="12"/>
      <c r="P246" s="12"/>
      <c r="Q246" s="12"/>
      <c r="R246" s="12"/>
      <c r="S246" s="12"/>
      <c r="T246" s="12"/>
      <c r="V246" s="12"/>
      <c r="W246" s="12"/>
      <c r="X246" s="12"/>
      <c r="Y246" s="12"/>
      <c r="Z246" s="12"/>
      <c r="AA246" s="12"/>
      <c r="AB246" s="12"/>
      <c r="AC246" s="12"/>
    </row>
    <row r="247" spans="1:29" x14ac:dyDescent="0.25">
      <c r="A247" s="12"/>
      <c r="B247" s="12"/>
      <c r="C247" s="26"/>
      <c r="D247" s="12"/>
      <c r="E247" s="12"/>
      <c r="F247" s="28"/>
      <c r="G247" s="12"/>
      <c r="H247" s="12"/>
      <c r="I247" s="26"/>
      <c r="J247" s="12"/>
      <c r="K247" s="12"/>
      <c r="M247" s="12"/>
      <c r="N247" s="12"/>
      <c r="O247" s="12"/>
      <c r="P247" s="12"/>
      <c r="Q247" s="12"/>
      <c r="R247" s="12"/>
      <c r="S247" s="12"/>
      <c r="T247" s="12"/>
      <c r="V247" s="12"/>
      <c r="W247" s="12"/>
      <c r="X247" s="12"/>
      <c r="Y247" s="12"/>
      <c r="Z247" s="12"/>
      <c r="AA247" s="12"/>
      <c r="AB247" s="12"/>
      <c r="AC247" s="12"/>
    </row>
    <row r="248" spans="1:29" x14ac:dyDescent="0.25">
      <c r="A248" s="12"/>
      <c r="B248" s="12"/>
      <c r="C248" s="26"/>
      <c r="D248" s="12"/>
      <c r="E248" s="12"/>
      <c r="F248" s="28"/>
      <c r="G248" s="12"/>
      <c r="H248" s="12"/>
      <c r="I248" s="26"/>
      <c r="J248" s="12"/>
      <c r="K248" s="12"/>
      <c r="M248" s="12"/>
      <c r="N248" s="12"/>
      <c r="O248" s="12"/>
      <c r="P248" s="12"/>
      <c r="Q248" s="12"/>
      <c r="R248" s="12"/>
      <c r="S248" s="12"/>
      <c r="T248" s="12"/>
      <c r="V248" s="12"/>
      <c r="W248" s="12"/>
      <c r="X248" s="12"/>
      <c r="Y248" s="12"/>
      <c r="Z248" s="12"/>
      <c r="AA248" s="12"/>
      <c r="AB248" s="12"/>
      <c r="AC248" s="12"/>
    </row>
    <row r="249" spans="1:29" x14ac:dyDescent="0.25">
      <c r="A249" s="12"/>
      <c r="B249" s="12"/>
      <c r="C249" s="26"/>
      <c r="D249" s="12"/>
      <c r="E249" s="12"/>
      <c r="F249" s="28"/>
      <c r="G249" s="12"/>
      <c r="H249" s="12"/>
      <c r="I249" s="26"/>
      <c r="J249" s="12"/>
      <c r="K249" s="12"/>
      <c r="M249" s="12"/>
      <c r="N249" s="12"/>
      <c r="O249" s="12"/>
      <c r="P249" s="12"/>
      <c r="Q249" s="12"/>
      <c r="R249" s="12"/>
      <c r="S249" s="12"/>
      <c r="T249" s="12"/>
      <c r="V249" s="12"/>
      <c r="W249" s="12"/>
      <c r="X249" s="12"/>
      <c r="Y249" s="12"/>
      <c r="Z249" s="12"/>
      <c r="AA249" s="12"/>
      <c r="AB249" s="12"/>
      <c r="AC249" s="12"/>
    </row>
    <row r="250" spans="1:29" x14ac:dyDescent="0.25">
      <c r="A250" s="12"/>
      <c r="B250" s="12"/>
      <c r="C250" s="26"/>
      <c r="D250" s="12"/>
      <c r="E250" s="12"/>
      <c r="F250" s="28"/>
      <c r="G250" s="12"/>
      <c r="H250" s="12"/>
      <c r="I250" s="26"/>
      <c r="J250" s="12"/>
      <c r="K250" s="12"/>
      <c r="M250" s="12"/>
      <c r="N250" s="12"/>
      <c r="O250" s="12"/>
      <c r="P250" s="12"/>
      <c r="Q250" s="12"/>
      <c r="R250" s="12"/>
      <c r="S250" s="12"/>
      <c r="T250" s="12"/>
      <c r="V250" s="12"/>
      <c r="W250" s="12"/>
      <c r="X250" s="12"/>
      <c r="Y250" s="12"/>
      <c r="Z250" s="12"/>
      <c r="AA250" s="12"/>
      <c r="AB250" s="12"/>
      <c r="AC250" s="12"/>
    </row>
    <row r="251" spans="1:29" ht="15.75" thickBot="1" x14ac:dyDescent="0.3">
      <c r="A251" s="12"/>
      <c r="B251" s="12"/>
      <c r="C251" s="14"/>
      <c r="D251" s="12"/>
      <c r="E251" s="12"/>
      <c r="F251" s="28"/>
      <c r="G251" s="12"/>
      <c r="H251" s="12"/>
      <c r="I251" s="14"/>
      <c r="J251" s="12"/>
      <c r="K251" s="12"/>
      <c r="M251" s="12"/>
      <c r="N251" s="12"/>
      <c r="O251" s="12"/>
      <c r="P251" s="12"/>
      <c r="Q251" s="12"/>
      <c r="R251" s="12"/>
      <c r="S251" s="12"/>
      <c r="T251" s="12"/>
      <c r="V251" s="12"/>
      <c r="W251" s="12"/>
      <c r="X251" s="12"/>
      <c r="Y251" s="12"/>
      <c r="Z251" s="12"/>
      <c r="AA251" s="12"/>
      <c r="AB251" s="12"/>
      <c r="AC251" s="12"/>
    </row>
  </sheetData>
  <mergeCells count="6">
    <mergeCell ref="V3:V4"/>
    <mergeCell ref="A4:E4"/>
    <mergeCell ref="G4:K4"/>
    <mergeCell ref="A2:K2"/>
    <mergeCell ref="A3:D3"/>
    <mergeCell ref="M3:M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A1:AE251"/>
  <sheetViews>
    <sheetView tabSelected="1" zoomScale="112" zoomScaleNormal="112" workbookViewId="0">
      <selection activeCell="AL20" sqref="AL20"/>
    </sheetView>
  </sheetViews>
  <sheetFormatPr defaultRowHeight="15" x14ac:dyDescent="0.25"/>
  <cols>
    <col min="4" max="4" width="0.85546875" customWidth="1"/>
    <col min="8" max="8" width="0.85546875" customWidth="1"/>
    <col min="11" max="11" width="1.85546875" customWidth="1"/>
    <col min="15" max="15" width="1.85546875" customWidth="1"/>
    <col min="19" max="19" width="2" customWidth="1"/>
    <col min="23" max="23" width="1.85546875" customWidth="1"/>
  </cols>
  <sheetData>
    <row r="1" spans="1:31" ht="48.75" customHeight="1" thickBot="1" x14ac:dyDescent="0.3">
      <c r="A1" s="80" t="s">
        <v>31</v>
      </c>
      <c r="B1" s="80"/>
      <c r="C1" s="80"/>
      <c r="D1" s="80"/>
      <c r="E1" s="81"/>
      <c r="F1" s="81"/>
      <c r="G1" s="81"/>
      <c r="H1" s="81"/>
      <c r="I1" s="81"/>
      <c r="J1" s="48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</row>
    <row r="2" spans="1:31" s="53" customFormat="1" ht="16.5" customHeight="1" thickBot="1" x14ac:dyDescent="0.3">
      <c r="A2" s="54" t="s">
        <v>32</v>
      </c>
      <c r="B2" s="50" t="s">
        <v>18</v>
      </c>
      <c r="C2" s="51" t="s">
        <v>18</v>
      </c>
      <c r="D2" s="52"/>
      <c r="E2" s="54" t="s">
        <v>32</v>
      </c>
      <c r="F2" s="50" t="s">
        <v>18</v>
      </c>
      <c r="G2" s="51" t="s">
        <v>18</v>
      </c>
      <c r="H2" s="52"/>
      <c r="I2" s="54" t="s">
        <v>32</v>
      </c>
      <c r="J2" s="51" t="s">
        <v>17</v>
      </c>
      <c r="L2" s="54" t="s">
        <v>32</v>
      </c>
      <c r="M2" s="50" t="s">
        <v>18</v>
      </c>
      <c r="N2" s="51" t="s">
        <v>18</v>
      </c>
      <c r="P2" s="54" t="s">
        <v>32</v>
      </c>
      <c r="Q2" s="50" t="s">
        <v>18</v>
      </c>
      <c r="R2" s="51" t="s">
        <v>18</v>
      </c>
      <c r="T2" s="54" t="s">
        <v>32</v>
      </c>
      <c r="U2" s="50" t="s">
        <v>18</v>
      </c>
      <c r="V2" s="51" t="s">
        <v>18</v>
      </c>
      <c r="X2" s="54" t="s">
        <v>32</v>
      </c>
      <c r="Y2" s="50" t="s">
        <v>18</v>
      </c>
      <c r="Z2" s="51" t="s">
        <v>18</v>
      </c>
      <c r="AD2" s="30">
        <v>0.5243992549803842</v>
      </c>
      <c r="AE2" s="30">
        <v>2.8010146794003354</v>
      </c>
    </row>
    <row r="3" spans="1:31" x14ac:dyDescent="0.25">
      <c r="A3" s="30">
        <f>'аксел-ры 1 и 2 и интегр-ие  '!M6</f>
        <v>2.999959E-2</v>
      </c>
      <c r="B3" s="30">
        <f>'аксел-ры 1 и 2 и интегр-ие  '!P6</f>
        <v>0.5243992549803842</v>
      </c>
      <c r="C3" s="30">
        <f>'аксел-ры 1 и 2 и интегр-ие  '!Y6</f>
        <v>2.8010146794003354</v>
      </c>
      <c r="D3" s="30"/>
      <c r="E3" s="30">
        <f>'аксел-ры 1 и 2 и интегр-ие  '!Q6</f>
        <v>2.999959E-2</v>
      </c>
      <c r="F3" s="30">
        <f>'аксел-ры 1 и 2 и интегр-ие  '!T6</f>
        <v>2.4037844965522011</v>
      </c>
      <c r="G3" s="30">
        <f>'аксел-ры 1 и 2 и интегр-ие  '!AC6</f>
        <v>2.1169743927489981</v>
      </c>
      <c r="H3" s="30"/>
      <c r="I3" s="30">
        <f>A3</f>
        <v>2.999959E-2</v>
      </c>
      <c r="J3" s="30">
        <f>DEGREES(ASIN((G3-C3)/'Начальные условия и парам.'!$B$15))</f>
        <v>-19.999999999999996</v>
      </c>
      <c r="L3" s="30">
        <f>A3</f>
        <v>2.999959E-2</v>
      </c>
      <c r="M3" s="30">
        <f>B3+SQRT(('Начальные условия и парам.'!$B$15+'Начальные условия и парам.'!$H$15)^2+('Начальные условия и парам.'!$K$15/2)^2)*COS(RADIANS(J3+'Начальные условия и парам.'!$E$19))</f>
        <v>6.5045751230215032</v>
      </c>
      <c r="N3" s="30">
        <f>C3+SQRT(('Начальные условия и парам.'!$B$15+'Начальные условия и парам.'!$H$15)^2+('Начальные условия и парам.'!$K$15/2)^2)*SIN(RADIANS(J3+'Начальные условия и парам.'!$E$19))</f>
        <v>1.6885864402322317</v>
      </c>
      <c r="P3" s="30">
        <f>A3</f>
        <v>2.999959E-2</v>
      </c>
      <c r="Q3" s="30">
        <f>B3+SQRT(('Начальные условия и парам.'!$B$15+'Начальные условия и парам.'!$H$15)^2+('Начальные условия и парам.'!$K$15/2)^2)*COS(RADIANS(J3-'Начальные условия и парам.'!$E$19))</f>
        <v>5.8205348363701654</v>
      </c>
      <c r="R3" s="30">
        <f>C3+SQRT(('Начальные условия и парам.'!$B$15+'Начальные условия и парам.'!$H$15)^2+('Начальные условия и парам.'!$K$15/2)^2)*SIN(RADIANS(J3-'Начальные условия и парам.'!$E$19))</f>
        <v>-0.19079880133958449</v>
      </c>
      <c r="T3" s="30">
        <f>A3</f>
        <v>2.999959E-2</v>
      </c>
      <c r="U3" s="30">
        <f>B3+SQRT(('Начальные условия и парам.'!$E$15)^2+('Начальные условия и парам.'!$K$15/2)^2)*COS(RADIANS(J3+PI()+'Начальные условия и парам.'!$H$19))</f>
        <v>3.6854798765901404</v>
      </c>
      <c r="V3" s="30">
        <f>C3+SQRT(('Начальные условия и парам.'!$E$15)^2+('Начальные условия и парам.'!$K$15/2)^2)*SIN(RADIANS(J3+PI()+'Начальные условия и парам.'!$H$19))</f>
        <v>2.8880164246890176</v>
      </c>
      <c r="X3" s="30">
        <f>A3</f>
        <v>2.999959E-2</v>
      </c>
      <c r="Y3" s="30">
        <f>B3+SQRT(('Начальные условия и парам.'!$E$15)^2+('Начальные условия и парам.'!$K$15/2)^2)*COS(RADIANS(J3+PI()-'Начальные условия и парам.'!$H$19))</f>
        <v>3.1054647994413989</v>
      </c>
      <c r="Z3" s="30">
        <f>C3+SQRT(('Начальные условия и парам.'!$E$15)^2+('Начальные условия и парам.'!$K$15/2)^2)*SIN(RADIANS(J3+PI()-'Начальные условия и парам.'!$H$19))</f>
        <v>0.9739677026654272</v>
      </c>
      <c r="AD3" s="30">
        <v>0.69836664526303605</v>
      </c>
      <c r="AE3" s="30">
        <v>2.7379109128808548</v>
      </c>
    </row>
    <row r="4" spans="1:31" x14ac:dyDescent="0.25">
      <c r="A4" s="30">
        <f>'аксел-ры 1 и 2 и интегр-ие  '!M7</f>
        <v>3.9999958000000002E-2</v>
      </c>
      <c r="B4" s="30">
        <f>'аксел-ры 1 и 2 и интегр-ие  '!P7</f>
        <v>0.69836664526303605</v>
      </c>
      <c r="C4" s="30">
        <f>'аксел-ры 1 и 2 и интегр-ие  '!Y7</f>
        <v>2.7379109128808548</v>
      </c>
      <c r="D4" s="12"/>
      <c r="E4" s="30">
        <f>'аксел-ры 1 и 2 и интегр-ие  '!Q7</f>
        <v>3.9999958000000002E-2</v>
      </c>
      <c r="F4" s="30">
        <f>'аксел-ры 1 и 2 и интегр-ие  '!T7</f>
        <v>2.5777518868348528</v>
      </c>
      <c r="G4" s="30">
        <f>'аксел-ры 1 и 2 и интегр-ие  '!AC7</f>
        <v>2.053870626229517</v>
      </c>
      <c r="H4" s="12"/>
      <c r="I4" s="30">
        <f t="shared" ref="I4:I67" si="0">A4</f>
        <v>3.9999958000000002E-2</v>
      </c>
      <c r="J4" s="30">
        <f>DEGREES(ASIN((G4-C4)/'Начальные условия и парам.'!$B$15))</f>
        <v>-20.000000000000011</v>
      </c>
      <c r="L4" s="30">
        <f t="shared" ref="L4:L67" si="1">A4</f>
        <v>3.9999958000000002E-2</v>
      </c>
      <c r="M4" s="30">
        <f>B4+SQRT(('Начальные условия и парам.'!$B$15+'Начальные условия и парам.'!$H$15)^2+('Начальные условия и парам.'!$K$15/2)^2)*COS(RADIANS(J4+'Начальные условия и парам.'!$E$19))</f>
        <v>6.678542513304154</v>
      </c>
      <c r="N4" s="30">
        <f>C4+SQRT(('Начальные условия и парам.'!$B$15+'Начальные условия и парам.'!$H$15)^2+('Начальные условия и парам.'!$K$15/2)^2)*SIN(RADIANS(J4+'Начальные условия и парам.'!$E$19))</f>
        <v>1.6254826737127497</v>
      </c>
      <c r="P4" s="30">
        <f t="shared" ref="P4:P67" si="2">A4</f>
        <v>3.9999958000000002E-2</v>
      </c>
      <c r="Q4" s="30">
        <f>B4+SQRT(('Начальные условия и парам.'!$B$15+'Начальные условия и парам.'!$H$15)^2+('Начальные условия и парам.'!$K$15/2)^2)*COS(RADIANS(J4-'Начальные условия и парам.'!$E$19))</f>
        <v>5.9945022266528172</v>
      </c>
      <c r="R4" s="30">
        <f>C4+SQRT(('Начальные условия и парам.'!$B$15+'Начальные условия и парам.'!$H$15)^2+('Начальные условия и парам.'!$K$15/2)^2)*SIN(RADIANS(J4-'Начальные условия и парам.'!$E$19))</f>
        <v>-0.25390256785906651</v>
      </c>
      <c r="T4" s="30">
        <f t="shared" ref="T4:T67" si="3">A4</f>
        <v>3.9999958000000002E-2</v>
      </c>
      <c r="U4" s="30">
        <f>B4+SQRT(('Начальные условия и парам.'!$E$15)^2+('Начальные условия и парам.'!$K$15/2)^2)*COS(RADIANS(J4+PI()+'Начальные условия и парам.'!$H$19))</f>
        <v>3.8594472668727922</v>
      </c>
      <c r="V4" s="30">
        <f>C4+SQRT(('Начальные условия и парам.'!$E$15)^2+('Начальные условия и парам.'!$K$15/2)^2)*SIN(RADIANS(J4+PI()+'Начальные условия и парам.'!$H$19))</f>
        <v>2.8249126581695361</v>
      </c>
      <c r="X4" s="30">
        <f t="shared" ref="X4:X67" si="4">A4</f>
        <v>3.9999958000000002E-2</v>
      </c>
      <c r="Y4" s="30">
        <f>B4+SQRT(('Начальные условия и парам.'!$E$15)^2+('Начальные условия и парам.'!$K$15/2)^2)*COS(RADIANS(J4+PI()-'Начальные условия и парам.'!$H$19))</f>
        <v>3.2794321897240497</v>
      </c>
      <c r="Z4" s="30">
        <f>C4+SQRT(('Начальные условия и парам.'!$E$15)^2+('Начальные условия и парам.'!$K$15/2)^2)*SIN(RADIANS(J4+PI()-'Начальные условия и парам.'!$H$19))</f>
        <v>0.91086393614594607</v>
      </c>
      <c r="AD4" s="30">
        <v>0.87173295234216985</v>
      </c>
      <c r="AE4" s="30">
        <v>2.6751024046406924</v>
      </c>
    </row>
    <row r="5" spans="1:31" x14ac:dyDescent="0.25">
      <c r="A5" s="30">
        <f>'аксел-ры 1 и 2 и интегр-ие  '!M8</f>
        <v>4.9999818000000001E-2</v>
      </c>
      <c r="B5" s="30">
        <f>'аксел-ры 1 и 2 и интегр-ие  '!P8</f>
        <v>0.87173295234216985</v>
      </c>
      <c r="C5" s="30">
        <f>'аксел-ры 1 и 2 и интегр-ие  '!Y8</f>
        <v>2.6751024046406924</v>
      </c>
      <c r="D5" s="12"/>
      <c r="E5" s="30">
        <f>'аксел-ры 1 и 2 и интегр-ие  '!Q8</f>
        <v>4.9999818000000001E-2</v>
      </c>
      <c r="F5" s="30">
        <f>'аксел-ры 1 и 2 и интегр-ие  '!T8</f>
        <v>2.7511181939139866</v>
      </c>
      <c r="G5" s="30">
        <f>'аксел-ры 1 и 2 и интегр-ие  '!AC8</f>
        <v>1.9910621179893551</v>
      </c>
      <c r="H5" s="12"/>
      <c r="I5" s="30">
        <f t="shared" si="0"/>
        <v>4.9999818000000001E-2</v>
      </c>
      <c r="J5" s="30">
        <f>DEGREES(ASIN((G5-C5)/'Начальные условия и парам.'!$B$15))</f>
        <v>-19.999999999999996</v>
      </c>
      <c r="L5" s="30">
        <f t="shared" si="1"/>
        <v>4.9999818000000001E-2</v>
      </c>
      <c r="M5" s="30">
        <f>B5+SQRT(('Начальные условия и парам.'!$B$15+'Начальные условия и парам.'!$H$15)^2+('Начальные условия и парам.'!$K$15/2)^2)*COS(RADIANS(J5+'Начальные условия и парам.'!$E$19))</f>
        <v>6.8519088203832892</v>
      </c>
      <c r="N5" s="30">
        <f>C5+SQRT(('Начальные условия и парам.'!$B$15+'Начальные условия и парам.'!$H$15)^2+('Начальные условия и парам.'!$K$15/2)^2)*SIN(RADIANS(J5+'Начальные условия и парам.'!$E$19))</f>
        <v>1.5626741654725886</v>
      </c>
      <c r="P5" s="30">
        <f t="shared" si="2"/>
        <v>4.9999818000000001E-2</v>
      </c>
      <c r="Q5" s="30">
        <f>B5+SQRT(('Начальные условия и парам.'!$B$15+'Начальные условия и парам.'!$H$15)^2+('Начальные условия и парам.'!$K$15/2)^2)*COS(RADIANS(J5-'Начальные условия и парам.'!$E$19))</f>
        <v>6.1678685337319514</v>
      </c>
      <c r="R5" s="30">
        <f>C5+SQRT(('Начальные условия и парам.'!$B$15+'Начальные условия и парам.'!$H$15)^2+('Начальные условия и парам.'!$K$15/2)^2)*SIN(RADIANS(J5-'Начальные условия и парам.'!$E$19))</f>
        <v>-0.31671107609922755</v>
      </c>
      <c r="T5" s="30">
        <f t="shared" si="3"/>
        <v>4.9999818000000001E-2</v>
      </c>
      <c r="U5" s="30">
        <f>B5+SQRT(('Начальные условия и парам.'!$E$15)^2+('Начальные условия и парам.'!$K$15/2)^2)*COS(RADIANS(J5+PI()+'Начальные условия и парам.'!$H$19))</f>
        <v>4.032813573951926</v>
      </c>
      <c r="V5" s="30">
        <f>C5+SQRT(('Начальные условия и парам.'!$E$15)^2+('Начальные условия и парам.'!$K$15/2)^2)*SIN(RADIANS(J5+PI()+'Начальные условия и парам.'!$H$19))</f>
        <v>2.7621041499293746</v>
      </c>
      <c r="X5" s="30">
        <f t="shared" si="4"/>
        <v>4.9999818000000001E-2</v>
      </c>
      <c r="Y5" s="30">
        <f>B5+SQRT(('Начальные условия и парам.'!$E$15)^2+('Начальные условия и парам.'!$K$15/2)^2)*COS(RADIANS(J5+PI()-'Начальные условия и парам.'!$H$19))</f>
        <v>3.4527984968031844</v>
      </c>
      <c r="Z5" s="30">
        <f>C5+SQRT(('Начальные условия и парам.'!$E$15)^2+('Начальные условия и парам.'!$K$15/2)^2)*SIN(RADIANS(J5+PI()-'Начальные условия и парам.'!$H$19))</f>
        <v>0.84805542790578414</v>
      </c>
      <c r="AD5">
        <v>2.4037844965522011</v>
      </c>
      <c r="AE5">
        <v>2.1169743927489981</v>
      </c>
    </row>
    <row r="6" spans="1:31" x14ac:dyDescent="0.25">
      <c r="A6" s="30">
        <f>'аксел-ры 1 и 2 и интегр-ие  '!M9</f>
        <v>5.9999681999999999E-2</v>
      </c>
      <c r="B6" s="30">
        <f>'аксел-ры 1 и 2 и интегр-ие  '!P9</f>
        <v>1.0448585389129437</v>
      </c>
      <c r="C6" s="30">
        <f>'аксел-ры 1 и 2 и интегр-ие  '!Y9</f>
        <v>2.6123973195810057</v>
      </c>
      <c r="D6" s="12"/>
      <c r="E6" s="30">
        <f>'аксел-ры 1 и 2 и интегр-ие  '!Q9</f>
        <v>5.9999681999999999E-2</v>
      </c>
      <c r="F6" s="30">
        <f>'аксел-ры 1 и 2 и интегр-ие  '!T9</f>
        <v>2.9242437804847605</v>
      </c>
      <c r="G6" s="30">
        <f>'аксел-ры 1 и 2 и интегр-ие  '!AC9</f>
        <v>1.9283570329296682</v>
      </c>
      <c r="H6" s="12"/>
      <c r="I6" s="30">
        <f t="shared" si="0"/>
        <v>5.9999681999999999E-2</v>
      </c>
      <c r="J6" s="30">
        <f>DEGREES(ASIN((G6-C6)/'Начальные условия и парам.'!$B$15))</f>
        <v>-20.000000000000007</v>
      </c>
      <c r="L6" s="30">
        <f t="shared" si="1"/>
        <v>5.9999681999999999E-2</v>
      </c>
      <c r="M6" s="30">
        <f>B6+SQRT(('Начальные условия и парам.'!$B$15+'Начальные условия и парам.'!$H$15)^2+('Начальные условия и парам.'!$K$15/2)^2)*COS(RADIANS(J6+'Начальные условия и парам.'!$E$19))</f>
        <v>7.0250344069540613</v>
      </c>
      <c r="N6" s="30">
        <f>C6+SQRT(('Начальные условия и парам.'!$B$15+'Начальные условия и парам.'!$H$15)^2+('Начальные условия и парам.'!$K$15/2)^2)*SIN(RADIANS(J6+'Начальные условия и парам.'!$E$19))</f>
        <v>1.4999690804129009</v>
      </c>
      <c r="P6" s="30">
        <f t="shared" si="2"/>
        <v>5.9999681999999999E-2</v>
      </c>
      <c r="Q6" s="30">
        <f>B6+SQRT(('Начальные условия и парам.'!$B$15+'Начальные условия и парам.'!$H$15)^2+('Начальные условия и парам.'!$K$15/2)^2)*COS(RADIANS(J6-'Начальные условия и парам.'!$E$19))</f>
        <v>6.3409941203027245</v>
      </c>
      <c r="R6" s="30">
        <f>C6+SQRT(('Начальные условия и парам.'!$B$15+'Начальные условия и парам.'!$H$15)^2+('Начальные условия и парам.'!$K$15/2)^2)*SIN(RADIANS(J6-'Начальные условия и парам.'!$E$19))</f>
        <v>-0.37941616115891552</v>
      </c>
      <c r="T6" s="30">
        <f t="shared" si="3"/>
        <v>5.9999681999999999E-2</v>
      </c>
      <c r="U6" s="30">
        <f>B6+SQRT(('Начальные условия и парам.'!$E$15)^2+('Начальные условия и парам.'!$K$15/2)^2)*COS(RADIANS(J6+PI()+'Начальные условия и парам.'!$H$19))</f>
        <v>4.2059391605226999</v>
      </c>
      <c r="V6" s="30">
        <f>C6+SQRT(('Начальные условия и парам.'!$E$15)^2+('Начальные условия и парам.'!$K$15/2)^2)*SIN(RADIANS(J6+PI()+'Начальные условия и парам.'!$H$19))</f>
        <v>2.6993990648696871</v>
      </c>
      <c r="X6" s="30">
        <f t="shared" si="4"/>
        <v>5.9999681999999999E-2</v>
      </c>
      <c r="Y6" s="30">
        <f>B6+SQRT(('Начальные условия и парам.'!$E$15)^2+('Начальные условия и парам.'!$K$15/2)^2)*COS(RADIANS(J6+PI()-'Начальные условия и парам.'!$H$19))</f>
        <v>3.6259240833739574</v>
      </c>
      <c r="Z6" s="30">
        <f>C6+SQRT(('Начальные условия и парам.'!$E$15)^2+('Начальные условия и парам.'!$K$15/2)^2)*SIN(RADIANS(J6+PI()-'Начальные условия и парам.'!$H$19))</f>
        <v>0.78535034284609706</v>
      </c>
      <c r="AD6">
        <v>2.5777518868348528</v>
      </c>
      <c r="AE6">
        <v>2.053870626229517</v>
      </c>
    </row>
    <row r="7" spans="1:31" x14ac:dyDescent="0.25">
      <c r="A7" s="30">
        <f>'аксел-ры 1 и 2 и интегр-ие  '!M10</f>
        <v>6.9999545999999996E-2</v>
      </c>
      <c r="B7" s="30">
        <f>'аксел-ры 1 и 2 и интегр-ие  '!P10</f>
        <v>1.2177879415420523</v>
      </c>
      <c r="C7" s="30">
        <f>'аксел-ры 1 и 2 и интегр-ие  '!Y10</f>
        <v>2.5499324503523439</v>
      </c>
      <c r="D7" s="12"/>
      <c r="E7" s="30">
        <f>'аксел-ры 1 и 2 и интегр-ие  '!Q10</f>
        <v>6.9999545999999996E-2</v>
      </c>
      <c r="F7" s="30">
        <f>'аксел-ры 1 и 2 и интегр-ие  '!T10</f>
        <v>3.0971731831138691</v>
      </c>
      <c r="G7" s="30">
        <f>'аксел-ры 1 и 2 и интегр-ие  '!AC10</f>
        <v>1.8658921637010066</v>
      </c>
      <c r="H7" s="12"/>
      <c r="I7" s="30">
        <f t="shared" si="0"/>
        <v>6.9999545999999996E-2</v>
      </c>
      <c r="J7" s="30">
        <f>DEGREES(ASIN((G7-C7)/'Начальные условия и парам.'!$B$15))</f>
        <v>-19.999999999999996</v>
      </c>
      <c r="L7" s="30">
        <f t="shared" si="1"/>
        <v>6.9999545999999996E-2</v>
      </c>
      <c r="M7" s="30">
        <f>B7+SQRT(('Начальные условия и парам.'!$B$15+'Начальные условия и парам.'!$H$15)^2+('Начальные условия и парам.'!$K$15/2)^2)*COS(RADIANS(J7+'Начальные условия и парам.'!$E$19))</f>
        <v>7.1979638095831717</v>
      </c>
      <c r="N7" s="30">
        <f>C7+SQRT(('Начальные условия и парам.'!$B$15+'Начальные условия и парам.'!$H$15)^2+('Начальные условия и парам.'!$K$15/2)^2)*SIN(RADIANS(J7+'Начальные условия и парам.'!$E$19))</f>
        <v>1.4375042111842402</v>
      </c>
      <c r="P7" s="30">
        <f t="shared" si="2"/>
        <v>6.9999545999999996E-2</v>
      </c>
      <c r="Q7" s="30">
        <f>B7+SQRT(('Начальные условия и парам.'!$B$15+'Начальные условия и парам.'!$H$15)^2+('Начальные условия и парам.'!$K$15/2)^2)*COS(RADIANS(J7-'Начальные условия и парам.'!$E$19))</f>
        <v>6.5139235229318331</v>
      </c>
      <c r="R7" s="30">
        <f>C7+SQRT(('Начальные условия и парам.'!$B$15+'Начальные условия и парам.'!$H$15)^2+('Начальные условия и парам.'!$K$15/2)^2)*SIN(RADIANS(J7-'Начальные условия и парам.'!$E$19))</f>
        <v>-0.44188103038757598</v>
      </c>
      <c r="T7" s="30">
        <f t="shared" si="3"/>
        <v>6.9999545999999996E-2</v>
      </c>
      <c r="U7" s="30">
        <f>B7+SQRT(('Начальные условия и парам.'!$E$15)^2+('Начальные условия и парам.'!$K$15/2)^2)*COS(RADIANS(J7+PI()+'Начальные условия и парам.'!$H$19))</f>
        <v>4.3788685631518085</v>
      </c>
      <c r="V7" s="30">
        <f>C7+SQRT(('Начальные условия и парам.'!$E$15)^2+('Начальные условия и парам.'!$K$15/2)^2)*SIN(RADIANS(J7+PI()+'Начальные условия и парам.'!$H$19))</f>
        <v>2.6369341956410262</v>
      </c>
      <c r="X7" s="30">
        <f t="shared" si="4"/>
        <v>6.9999545999999996E-2</v>
      </c>
      <c r="Y7" s="30">
        <f>B7+SQRT(('Начальные условия и парам.'!$E$15)^2+('Начальные условия и парам.'!$K$15/2)^2)*COS(RADIANS(J7+PI()-'Начальные условия и парам.'!$H$19))</f>
        <v>3.7988534860030669</v>
      </c>
      <c r="Z7" s="30">
        <f>C7+SQRT(('Начальные условия и парам.'!$E$15)^2+('Начальные условия и парам.'!$K$15/2)^2)*SIN(RADIANS(J7+PI()-'Начальные условия и парам.'!$H$19))</f>
        <v>0.72288547361743571</v>
      </c>
      <c r="AD7">
        <v>2.7511181939139866</v>
      </c>
      <c r="AE7">
        <v>1.9910621179893551</v>
      </c>
    </row>
    <row r="8" spans="1:31" x14ac:dyDescent="0.25">
      <c r="A8" s="30">
        <f>'аксел-ры 1 и 2 и интегр-ие  '!M11</f>
        <v>7.9999916000000004E-2</v>
      </c>
      <c r="B8" s="30">
        <f>'аксел-ры 1 и 2 и интегр-ие  '!P11</f>
        <v>1.3904360827079172</v>
      </c>
      <c r="C8" s="30">
        <f>'аксел-ры 1 и 2 и интегр-ие  '!Y11</f>
        <v>2.487920873006463</v>
      </c>
      <c r="D8" s="12"/>
      <c r="E8" s="30">
        <f>'аксел-ры 1 и 2 и интегр-ие  '!Q11</f>
        <v>7.9999916000000004E-2</v>
      </c>
      <c r="F8" s="30">
        <f>'аксел-ры 1 и 2 и интегр-ие  '!T11</f>
        <v>3.269821324279734</v>
      </c>
      <c r="G8" s="30">
        <f>'аксел-ры 1 и 2 и интегр-ие  '!AC11</f>
        <v>1.8038805863551257</v>
      </c>
      <c r="H8" s="12"/>
      <c r="I8" s="30">
        <f t="shared" si="0"/>
        <v>7.9999916000000004E-2</v>
      </c>
      <c r="J8" s="30">
        <f>DEGREES(ASIN((G8-C8)/'Начальные условия и парам.'!$B$15))</f>
        <v>-19.999999999999996</v>
      </c>
      <c r="L8" s="30">
        <f t="shared" si="1"/>
        <v>7.9999916000000004E-2</v>
      </c>
      <c r="M8" s="30">
        <f>B8+SQRT(('Начальные условия и парам.'!$B$15+'Начальные условия и парам.'!$H$15)^2+('Начальные условия и парам.'!$K$15/2)^2)*COS(RADIANS(J8+'Начальные условия и парам.'!$E$19))</f>
        <v>7.3706119507490362</v>
      </c>
      <c r="N8" s="30">
        <f>C8+SQRT(('Начальные условия и парам.'!$B$15+'Начальные условия и парам.'!$H$15)^2+('Начальные условия и парам.'!$K$15/2)^2)*SIN(RADIANS(J8+'Начальные условия и парам.'!$E$19))</f>
        <v>1.3754926338383593</v>
      </c>
      <c r="P8" s="30">
        <f t="shared" si="2"/>
        <v>7.9999916000000004E-2</v>
      </c>
      <c r="Q8" s="30">
        <f>B8+SQRT(('Начальные условия и парам.'!$B$15+'Начальные условия и парам.'!$H$15)^2+('Начальные условия и парам.'!$K$15/2)^2)*COS(RADIANS(J8-'Начальные условия и парам.'!$E$19))</f>
        <v>6.6865716640976984</v>
      </c>
      <c r="R8" s="30">
        <f>C8+SQRT(('Начальные условия и парам.'!$B$15+'Начальные условия и парам.'!$H$15)^2+('Начальные условия и парам.'!$K$15/2)^2)*SIN(RADIANS(J8-'Начальные условия и парам.'!$E$19))</f>
        <v>-0.5038926077334569</v>
      </c>
      <c r="T8" s="30">
        <f t="shared" si="3"/>
        <v>7.9999916000000004E-2</v>
      </c>
      <c r="U8" s="30">
        <f>B8+SQRT(('Начальные условия и парам.'!$E$15)^2+('Начальные условия и парам.'!$K$15/2)^2)*COS(RADIANS(J8+PI()+'Начальные условия и парам.'!$H$19))</f>
        <v>4.5515167043176739</v>
      </c>
      <c r="V8" s="30">
        <f>C8+SQRT(('Начальные условия и парам.'!$E$15)^2+('Начальные условия и парам.'!$K$15/2)^2)*SIN(RADIANS(J8+PI()+'Начальные условия и парам.'!$H$19))</f>
        <v>2.5749226182951452</v>
      </c>
      <c r="X8" s="30">
        <f t="shared" si="4"/>
        <v>7.9999916000000004E-2</v>
      </c>
      <c r="Y8" s="30">
        <f>B8+SQRT(('Начальные условия и парам.'!$E$15)^2+('Начальные условия и парам.'!$K$15/2)^2)*COS(RADIANS(J8+PI()-'Начальные условия и парам.'!$H$19))</f>
        <v>3.9715016271689318</v>
      </c>
      <c r="Z8" s="30">
        <f>C8+SQRT(('Начальные условия и парам.'!$E$15)^2+('Начальные условия и парам.'!$K$15/2)^2)*SIN(RADIANS(J8+PI()-'Начальные условия и парам.'!$H$19))</f>
        <v>0.66087389627155479</v>
      </c>
      <c r="AD8">
        <v>6.5045751230215032</v>
      </c>
      <c r="AE8">
        <v>1.6885864402322317</v>
      </c>
    </row>
    <row r="9" spans="1:31" x14ac:dyDescent="0.25">
      <c r="A9" s="30">
        <f>'аксел-ры 1 и 2 и интегр-ие  '!M12</f>
        <v>8.9999773000000005E-2</v>
      </c>
      <c r="B9" s="30">
        <f>'аксел-ры 1 и 2 и интегр-ие  '!P12</f>
        <v>1.562826506472127</v>
      </c>
      <c r="C9" s="30">
        <f>'аксел-ры 1 и 2 и интегр-ие  '!Y12</f>
        <v>2.4263632079362756</v>
      </c>
      <c r="D9" s="12"/>
      <c r="E9" s="30">
        <f>'аксел-ры 1 и 2 и интегр-ие  '!Q12</f>
        <v>8.9999773000000005E-2</v>
      </c>
      <c r="F9" s="30">
        <f>'аксел-ры 1 и 2 и интегр-ие  '!T12</f>
        <v>3.4422117480439436</v>
      </c>
      <c r="G9" s="30">
        <f>'аксел-ры 1 и 2 и интегр-ие  '!AC12</f>
        <v>1.7423229212849383</v>
      </c>
      <c r="H9" s="12"/>
      <c r="I9" s="30">
        <f t="shared" si="0"/>
        <v>8.9999773000000005E-2</v>
      </c>
      <c r="J9" s="30">
        <f>DEGREES(ASIN((G9-C9)/'Начальные условия и парам.'!$B$15))</f>
        <v>-19.999999999999996</v>
      </c>
      <c r="L9" s="30">
        <f t="shared" si="1"/>
        <v>8.9999773000000005E-2</v>
      </c>
      <c r="M9" s="30">
        <f>B9+SQRT(('Начальные условия и парам.'!$B$15+'Начальные условия и парам.'!$H$15)^2+('Начальные условия и парам.'!$K$15/2)^2)*COS(RADIANS(J9+'Начальные условия и парам.'!$E$19))</f>
        <v>7.5430023745132457</v>
      </c>
      <c r="N9" s="30">
        <f>C9+SQRT(('Начальные условия и парам.'!$B$15+'Начальные условия и парам.'!$H$15)^2+('Начальные условия и парам.'!$K$15/2)^2)*SIN(RADIANS(J9+'Начальные условия и парам.'!$E$19))</f>
        <v>1.3139349687681718</v>
      </c>
      <c r="P9" s="30">
        <f t="shared" si="2"/>
        <v>8.9999773000000005E-2</v>
      </c>
      <c r="Q9" s="30">
        <f>B9+SQRT(('Начальные условия и парам.'!$B$15+'Начальные условия и парам.'!$H$15)^2+('Начальные условия и парам.'!$K$15/2)^2)*COS(RADIANS(J9-'Начальные условия и парам.'!$E$19))</f>
        <v>6.858962087861908</v>
      </c>
      <c r="R9" s="30">
        <f>C9+SQRT(('Начальные условия и парам.'!$B$15+'Начальные условия и парам.'!$H$15)^2+('Начальные условия и парам.'!$K$15/2)^2)*SIN(RADIANS(J9-'Начальные условия и парам.'!$E$19))</f>
        <v>-0.56545027280364435</v>
      </c>
      <c r="T9" s="30">
        <f t="shared" si="3"/>
        <v>8.9999773000000005E-2</v>
      </c>
      <c r="U9" s="30">
        <f>B9+SQRT(('Начальные условия и парам.'!$E$15)^2+('Начальные условия и парам.'!$K$15/2)^2)*COS(RADIANS(J9+PI()+'Начальные условия и парам.'!$H$19))</f>
        <v>4.7239071280818834</v>
      </c>
      <c r="V9" s="30">
        <f>C9+SQRT(('Начальные условия и парам.'!$E$15)^2+('Начальные условия и парам.'!$K$15/2)^2)*SIN(RADIANS(J9+PI()+'Начальные условия и парам.'!$H$19))</f>
        <v>2.5133649532249578</v>
      </c>
      <c r="X9" s="30">
        <f t="shared" si="4"/>
        <v>8.9999773000000005E-2</v>
      </c>
      <c r="Y9" s="30">
        <f>B9+SQRT(('Начальные условия и парам.'!$E$15)^2+('Начальные условия и парам.'!$K$15/2)^2)*COS(RADIANS(J9+PI()-'Начальные условия и парам.'!$H$19))</f>
        <v>4.1438920509331414</v>
      </c>
      <c r="Z9" s="30">
        <f>C9+SQRT(('Начальные условия и парам.'!$E$15)^2+('Начальные условия и парам.'!$K$15/2)^2)*SIN(RADIANS(J9+PI()-'Начальные условия и парам.'!$H$19))</f>
        <v>0.59931623120136734</v>
      </c>
      <c r="AD9">
        <v>6.678542513304154</v>
      </c>
      <c r="AE9">
        <v>1.6254826737127497</v>
      </c>
    </row>
    <row r="10" spans="1:31" x14ac:dyDescent="0.25">
      <c r="A10" s="30">
        <f>'аксел-ры 1 и 2 и интегр-ие  '!M13</f>
        <v>9.9999636000000003E-2</v>
      </c>
      <c r="B10" s="30">
        <f>'аксел-ры 1 и 2 и интегр-ие  '!P13</f>
        <v>1.7351063336824697</v>
      </c>
      <c r="C10" s="30">
        <f>'аксел-ры 1 и 2 и интегр-ие  '!Y13</f>
        <v>2.3651391356857889</v>
      </c>
      <c r="D10" s="12"/>
      <c r="E10" s="30">
        <f>'аксел-ры 1 и 2 и интегр-ие  '!Q13</f>
        <v>9.9999636000000003E-2</v>
      </c>
      <c r="F10" s="30">
        <f>'аксел-ры 1 и 2 и интегр-ие  '!T13</f>
        <v>3.6144915752542865</v>
      </c>
      <c r="G10" s="30">
        <f>'аксел-ры 1 и 2 и интегр-ие  '!AC13</f>
        <v>1.6810988490344516</v>
      </c>
      <c r="H10" s="12"/>
      <c r="I10" s="30">
        <f t="shared" si="0"/>
        <v>9.9999636000000003E-2</v>
      </c>
      <c r="J10" s="30">
        <f>DEGREES(ASIN((G10-C10)/'Начальные условия и парам.'!$B$15))</f>
        <v>-19.999999999999996</v>
      </c>
      <c r="L10" s="30">
        <f t="shared" si="1"/>
        <v>9.9999636000000003E-2</v>
      </c>
      <c r="M10" s="30">
        <f>B10+SQRT(('Начальные условия и парам.'!$B$15+'Начальные условия и парам.'!$H$15)^2+('Начальные условия и парам.'!$K$15/2)^2)*COS(RADIANS(J10+'Начальные условия и парам.'!$E$19))</f>
        <v>7.7152822017235891</v>
      </c>
      <c r="N10" s="30">
        <f>C10+SQRT(('Начальные условия и парам.'!$B$15+'Начальные условия и парам.'!$H$15)^2+('Начальные условия и парам.'!$K$15/2)^2)*SIN(RADIANS(J10+'Начальные условия и парам.'!$E$19))</f>
        <v>1.2527108965176852</v>
      </c>
      <c r="P10" s="30">
        <f t="shared" si="2"/>
        <v>9.9999636000000003E-2</v>
      </c>
      <c r="Q10" s="30">
        <f>B10+SQRT(('Начальные условия и парам.'!$B$15+'Начальные условия и парам.'!$H$15)^2+('Начальные условия и парам.'!$K$15/2)^2)*COS(RADIANS(J10-'Начальные условия и парам.'!$E$19))</f>
        <v>7.0312419150722505</v>
      </c>
      <c r="R10" s="30">
        <f>C10+SQRT(('Начальные условия и парам.'!$B$15+'Начальные условия и парам.'!$H$15)^2+('Начальные условия и парам.'!$K$15/2)^2)*SIN(RADIANS(J10-'Начальные условия и парам.'!$E$19))</f>
        <v>-0.626674345054131</v>
      </c>
      <c r="T10" s="30">
        <f t="shared" si="3"/>
        <v>9.9999636000000003E-2</v>
      </c>
      <c r="U10" s="30">
        <f>B10+SQRT(('Начальные условия и парам.'!$E$15)^2+('Начальные условия и парам.'!$K$15/2)^2)*COS(RADIANS(J10+PI()+'Начальные условия и парам.'!$H$19))</f>
        <v>4.8961869552922259</v>
      </c>
      <c r="V10" s="30">
        <f>C10+SQRT(('Начальные условия и парам.'!$E$15)^2+('Начальные условия и парам.'!$K$15/2)^2)*SIN(RADIANS(J10+PI()+'Начальные условия и парам.'!$H$19))</f>
        <v>2.4521408809744711</v>
      </c>
      <c r="X10" s="30">
        <f t="shared" si="4"/>
        <v>9.9999636000000003E-2</v>
      </c>
      <c r="Y10" s="30">
        <f>B10+SQRT(('Начальные условия и парам.'!$E$15)^2+('Начальные условия и парам.'!$K$15/2)^2)*COS(RADIANS(J10+PI()-'Начальные условия и парам.'!$H$19))</f>
        <v>4.3161718781434839</v>
      </c>
      <c r="Z10" s="30">
        <f>C10+SQRT(('Начальные условия и парам.'!$E$15)^2+('Начальные условия и парам.'!$K$15/2)^2)*SIN(RADIANS(J10+PI()-'Начальные условия и парам.'!$H$19))</f>
        <v>0.53809215895088069</v>
      </c>
      <c r="AD10">
        <v>6.8519088203832892</v>
      </c>
      <c r="AE10">
        <v>1.5626741654725886</v>
      </c>
    </row>
    <row r="11" spans="1:31" x14ac:dyDescent="0.25">
      <c r="A11" s="30">
        <f>'аксел-ры 1 и 2 и интегр-ие  '!M14</f>
        <v>0.1099995</v>
      </c>
      <c r="B11" s="30">
        <f>'аксел-ры 1 и 2 и интегр-ие  '!P14</f>
        <v>1.9072570158433884</v>
      </c>
      <c r="C11" s="30">
        <f>'аксел-ры 1 и 2 и интегр-ие  '!Y14</f>
        <v>2.3042648164327022</v>
      </c>
      <c r="D11" s="12"/>
      <c r="E11" s="30">
        <f>'аксел-ры 1 и 2 и интегр-ие  '!Q14</f>
        <v>0.1099995</v>
      </c>
      <c r="F11" s="30">
        <f>'аксел-ры 1 и 2 и интегр-ие  '!T14</f>
        <v>3.7866422574152052</v>
      </c>
      <c r="G11" s="30">
        <f>'аксел-ры 1 и 2 и интегр-ие  '!AC14</f>
        <v>1.6202245297813649</v>
      </c>
      <c r="H11" s="12"/>
      <c r="I11" s="30">
        <f t="shared" si="0"/>
        <v>0.1099995</v>
      </c>
      <c r="J11" s="30">
        <f>DEGREES(ASIN((G11-C11)/'Начальные условия и парам.'!$B$15))</f>
        <v>-19.999999999999996</v>
      </c>
      <c r="L11" s="30">
        <f t="shared" si="1"/>
        <v>0.1099995</v>
      </c>
      <c r="M11" s="30">
        <f>B11+SQRT(('Начальные условия и парам.'!$B$15+'Начальные условия и парам.'!$H$15)^2+('Начальные условия и парам.'!$K$15/2)^2)*COS(RADIANS(J11+'Начальные условия и парам.'!$E$19))</f>
        <v>7.8874328838845074</v>
      </c>
      <c r="N11" s="30">
        <f>C11+SQRT(('Начальные условия и парам.'!$B$15+'Начальные условия и парам.'!$H$15)^2+('Начальные условия и парам.'!$K$15/2)^2)*SIN(RADIANS(J11+'Начальные условия и парам.'!$E$19))</f>
        <v>1.1918365772645985</v>
      </c>
      <c r="P11" s="30">
        <f t="shared" si="2"/>
        <v>0.1099995</v>
      </c>
      <c r="Q11" s="30">
        <f>B11+SQRT(('Начальные условия и парам.'!$B$15+'Начальные условия и парам.'!$H$15)^2+('Начальные условия и парам.'!$K$15/2)^2)*COS(RADIANS(J11-'Начальные условия и парам.'!$E$19))</f>
        <v>7.2033925972331696</v>
      </c>
      <c r="R11" s="30">
        <f>C11+SQRT(('Начальные условия и парам.'!$B$15+'Начальные условия и парам.'!$H$15)^2+('Начальные условия и парам.'!$K$15/2)^2)*SIN(RADIANS(J11-'Начальные условия и парам.'!$E$19))</f>
        <v>-0.68754866430721773</v>
      </c>
      <c r="T11" s="30">
        <f t="shared" si="3"/>
        <v>0.1099995</v>
      </c>
      <c r="U11" s="30">
        <f>B11+SQRT(('Начальные условия и парам.'!$E$15)^2+('Начальные условия и парам.'!$K$15/2)^2)*COS(RADIANS(J11+PI()+'Начальные условия и парам.'!$H$19))</f>
        <v>5.0683376374531441</v>
      </c>
      <c r="V11" s="30">
        <f>C11+SQRT(('Начальные условия и парам.'!$E$15)^2+('Начальные условия и парам.'!$K$15/2)^2)*SIN(RADIANS(J11+PI()+'Начальные условия и парам.'!$H$19))</f>
        <v>2.3912665617213844</v>
      </c>
      <c r="X11" s="30">
        <f t="shared" si="4"/>
        <v>0.1099995</v>
      </c>
      <c r="Y11" s="30">
        <f>B11+SQRT(('Начальные условия и парам.'!$E$15)^2+('Начальные условия и парам.'!$K$15/2)^2)*COS(RADIANS(J11+PI()-'Начальные условия и парам.'!$H$19))</f>
        <v>4.488322560304403</v>
      </c>
      <c r="Z11" s="30">
        <f>C11+SQRT(('Начальные условия и парам.'!$E$15)^2+('Начальные условия и парам.'!$K$15/2)^2)*SIN(RADIANS(J11+PI()-'Начальные условия и парам.'!$H$19))</f>
        <v>0.47721783969779397</v>
      </c>
      <c r="AD11">
        <v>5.8205348363701654</v>
      </c>
      <c r="AE11">
        <v>-0.19079880133958449</v>
      </c>
    </row>
    <row r="12" spans="1:31" x14ac:dyDescent="0.25">
      <c r="A12" s="30">
        <f>'аксел-ры 1 и 2 и интегр-ие  '!M15</f>
        <v>0.11999987099999999</v>
      </c>
      <c r="B12" s="30">
        <f>'аксел-ры 1 и 2 и интегр-ие  '!P15</f>
        <v>2.0790242463790665</v>
      </c>
      <c r="C12" s="30">
        <f>'аксел-ры 1 и 2 и интегр-ие  '!Y15</f>
        <v>2.2439310324528465</v>
      </c>
      <c r="D12" s="12"/>
      <c r="E12" s="30">
        <f>'аксел-ры 1 и 2 и интегр-ие  '!Q15</f>
        <v>0.11999987099999999</v>
      </c>
      <c r="F12" s="30">
        <f>'аксел-ры 1 и 2 и интегр-ие  '!T15</f>
        <v>3.9584094879508829</v>
      </c>
      <c r="G12" s="30">
        <f>'аксел-ры 1 и 2 и интегр-ие  '!AC15</f>
        <v>1.5598907458015092</v>
      </c>
      <c r="H12" s="12"/>
      <c r="I12" s="30">
        <f t="shared" si="0"/>
        <v>0.11999987099999999</v>
      </c>
      <c r="J12" s="30">
        <f>DEGREES(ASIN((G12-C12)/'Начальные условия и парам.'!$B$15))</f>
        <v>-19.999999999999996</v>
      </c>
      <c r="L12" s="30">
        <f t="shared" si="1"/>
        <v>0.11999987099999999</v>
      </c>
      <c r="M12" s="30">
        <f>B12+SQRT(('Начальные условия и парам.'!$B$15+'Начальные условия и парам.'!$H$15)^2+('Начальные условия и парам.'!$K$15/2)^2)*COS(RADIANS(J12+'Начальные условия и парам.'!$E$19))</f>
        <v>8.0592001144201859</v>
      </c>
      <c r="N12" s="30">
        <f>C12+SQRT(('Начальные условия и парам.'!$B$15+'Начальные условия и парам.'!$H$15)^2+('Начальные условия и парам.'!$K$15/2)^2)*SIN(RADIANS(J12+'Начальные условия и парам.'!$E$19))</f>
        <v>1.1315027932847428</v>
      </c>
      <c r="P12" s="30">
        <f t="shared" si="2"/>
        <v>0.11999987099999999</v>
      </c>
      <c r="Q12" s="30">
        <f>B12+SQRT(('Начальные условия и парам.'!$B$15+'Начальные условия и парам.'!$H$15)^2+('Начальные условия и парам.'!$K$15/2)^2)*COS(RADIANS(J12-'Начальные условия и парам.'!$E$19))</f>
        <v>7.3751598277688473</v>
      </c>
      <c r="R12" s="30">
        <f>C12+SQRT(('Начальные условия и парам.'!$B$15+'Начальные условия и парам.'!$H$15)^2+('Начальные условия и парам.'!$K$15/2)^2)*SIN(RADIANS(J12-'Начальные условия и парам.'!$E$19))</f>
        <v>-0.7478824482870734</v>
      </c>
      <c r="T12" s="30">
        <f t="shared" si="3"/>
        <v>0.11999987099999999</v>
      </c>
      <c r="U12" s="30">
        <f>B12+SQRT(('Начальные условия и парам.'!$E$15)^2+('Начальные условия и парам.'!$K$15/2)^2)*COS(RADIANS(J12+PI()+'Начальные условия и парам.'!$H$19))</f>
        <v>5.2401048679888227</v>
      </c>
      <c r="V12" s="30">
        <f>C12+SQRT(('Начальные условия и парам.'!$E$15)^2+('Начальные условия и парам.'!$K$15/2)^2)*SIN(RADIANS(J12+PI()+'Начальные условия и парам.'!$H$19))</f>
        <v>2.3309327777415287</v>
      </c>
      <c r="X12" s="30">
        <f t="shared" si="4"/>
        <v>0.11999987099999999</v>
      </c>
      <c r="Y12" s="30">
        <f>B12+SQRT(('Начальные условия и парам.'!$E$15)^2+('Начальные условия и парам.'!$K$15/2)^2)*COS(RADIANS(J12+PI()-'Начальные условия и парам.'!$H$19))</f>
        <v>4.6600897908400807</v>
      </c>
      <c r="Z12" s="30">
        <f>C12+SQRT(('Начальные условия и парам.'!$E$15)^2+('Начальные условия и парам.'!$K$15/2)^2)*SIN(RADIANS(J12+PI()-'Начальные условия и парам.'!$H$19))</f>
        <v>0.4168840557179383</v>
      </c>
      <c r="AD12">
        <v>5.9945022266528172</v>
      </c>
      <c r="AE12">
        <v>-0.25390256785906651</v>
      </c>
    </row>
    <row r="13" spans="1:31" x14ac:dyDescent="0.25">
      <c r="A13" s="30">
        <f>'аксел-ры 1 и 2 и интегр-ие  '!M16</f>
        <v>0.12999972700000001</v>
      </c>
      <c r="B13" s="30">
        <f>'аксел-ры 1 и 2 и интегр-ие  '!P16</f>
        <v>2.2501612262278754</v>
      </c>
      <c r="C13" s="30">
        <f>'аксел-ры 1 и 2 и интегр-ие  '!Y16</f>
        <v>2.184459707146484</v>
      </c>
      <c r="D13" s="12"/>
      <c r="E13" s="30">
        <f>'аксел-ры 1 и 2 и интегр-ие  '!Q16</f>
        <v>0.12999972700000001</v>
      </c>
      <c r="F13" s="30">
        <f>'аксел-ры 1 и 2 и интегр-ие  '!T16</f>
        <v>4.1295464677996927</v>
      </c>
      <c r="G13" s="30">
        <f>'аксел-ры 1 и 2 и интегр-ие  '!AC16</f>
        <v>1.5004194204951466</v>
      </c>
      <c r="H13" s="12"/>
      <c r="I13" s="30">
        <f t="shared" si="0"/>
        <v>0.12999972700000001</v>
      </c>
      <c r="J13" s="30">
        <f>DEGREES(ASIN((G13-C13)/'Начальные условия и парам.'!$B$15))</f>
        <v>-19.999999999999996</v>
      </c>
      <c r="L13" s="30">
        <f t="shared" si="1"/>
        <v>0.12999972700000001</v>
      </c>
      <c r="M13" s="30">
        <f>B13+SQRT(('Начальные условия и парам.'!$B$15+'Начальные условия и парам.'!$H$15)^2+('Начальные условия и парам.'!$K$15/2)^2)*COS(RADIANS(J13+'Начальные условия и парам.'!$E$19))</f>
        <v>8.2303370942689948</v>
      </c>
      <c r="N13" s="30">
        <f>C13+SQRT(('Начальные условия и парам.'!$B$15+'Начальные условия и парам.'!$H$15)^2+('Начальные условия и парам.'!$K$15/2)^2)*SIN(RADIANS(J13+'Начальные условия и парам.'!$E$19))</f>
        <v>1.0720314679783802</v>
      </c>
      <c r="P13" s="30">
        <f t="shared" si="2"/>
        <v>0.12999972700000001</v>
      </c>
      <c r="Q13" s="30">
        <f>B13+SQRT(('Начальные условия и парам.'!$B$15+'Начальные условия и парам.'!$H$15)^2+('Начальные условия и парам.'!$K$15/2)^2)*COS(RADIANS(J13-'Начальные условия и парам.'!$E$19))</f>
        <v>7.5462968076176562</v>
      </c>
      <c r="R13" s="30">
        <f>C13+SQRT(('Начальные условия и парам.'!$B$15+'Начальные условия и парам.'!$H$15)^2+('Начальные условия и парам.'!$K$15/2)^2)*SIN(RADIANS(J13-'Начальные условия и парам.'!$E$19))</f>
        <v>-0.80735377359343596</v>
      </c>
      <c r="T13" s="30">
        <f t="shared" si="3"/>
        <v>0.12999972700000001</v>
      </c>
      <c r="U13" s="30">
        <f>B13+SQRT(('Начальные условия и парам.'!$E$15)^2+('Начальные условия и парам.'!$K$15/2)^2)*COS(RADIANS(J13+PI()+'Начальные условия и парам.'!$H$19))</f>
        <v>5.4112418478376316</v>
      </c>
      <c r="V13" s="30">
        <f>C13+SQRT(('Начальные условия и парам.'!$E$15)^2+('Начальные условия и парам.'!$K$15/2)^2)*SIN(RADIANS(J13+PI()+'Начальные условия и парам.'!$H$19))</f>
        <v>2.2714614524351662</v>
      </c>
      <c r="X13" s="30">
        <f t="shared" si="4"/>
        <v>0.12999972700000001</v>
      </c>
      <c r="Y13" s="30">
        <f>B13+SQRT(('Начальные условия и парам.'!$E$15)^2+('Начальные условия и парам.'!$K$15/2)^2)*COS(RADIANS(J13+PI()-'Начальные условия и парам.'!$H$19))</f>
        <v>4.8312267706888896</v>
      </c>
      <c r="Z13" s="30">
        <f>C13+SQRT(('Начальные условия и парам.'!$E$15)^2+('Начальные условия и парам.'!$K$15/2)^2)*SIN(RADIANS(J13+PI()-'Начальные условия и парам.'!$H$19))</f>
        <v>0.35741273041157573</v>
      </c>
      <c r="AD13">
        <v>6.1678685337319514</v>
      </c>
      <c r="AE13">
        <v>-0.31671107609922755</v>
      </c>
    </row>
    <row r="14" spans="1:31" x14ac:dyDescent="0.25">
      <c r="A14" s="30">
        <f>'аксел-ры 1 и 2 и интегр-ие  '!M17</f>
        <v>0.139999598</v>
      </c>
      <c r="B14" s="30">
        <f>'аксел-ры 1 и 2 и интегр-ие  '!P17</f>
        <v>2.4206408084832405</v>
      </c>
      <c r="C14" s="30">
        <f>'аксел-ры 1 и 2 и интегр-ие  '!Y17</f>
        <v>2.1262518046700731</v>
      </c>
      <c r="D14" s="12"/>
      <c r="E14" s="30">
        <f>'аксел-ры 1 и 2 и интегр-ие  '!Q17</f>
        <v>0.139999598</v>
      </c>
      <c r="F14" s="30">
        <f>'аксел-ры 1 и 2 и интегр-ие  '!T17</f>
        <v>4.3000260500550578</v>
      </c>
      <c r="G14" s="30">
        <f>'аксел-ры 1 и 2 и интегр-ие  '!AC17</f>
        <v>1.4422115180187358</v>
      </c>
      <c r="H14" s="12"/>
      <c r="I14" s="30">
        <f t="shared" si="0"/>
        <v>0.139999598</v>
      </c>
      <c r="J14" s="30">
        <f>DEGREES(ASIN((G14-C14)/'Начальные условия и парам.'!$B$15))</f>
        <v>-19.999999999999996</v>
      </c>
      <c r="L14" s="30">
        <f t="shared" si="1"/>
        <v>0.139999598</v>
      </c>
      <c r="M14" s="30">
        <f>B14+SQRT(('Начальные условия и парам.'!$B$15+'Начальные условия и парам.'!$H$15)^2+('Начальные условия и парам.'!$K$15/2)^2)*COS(RADIANS(J14+'Начальные условия и парам.'!$E$19))</f>
        <v>8.400816676524359</v>
      </c>
      <c r="N14" s="30">
        <f>C14+SQRT(('Начальные условия и парам.'!$B$15+'Начальные условия и парам.'!$H$15)^2+('Начальные условия и парам.'!$K$15/2)^2)*SIN(RADIANS(J14+'Начальные условия и парам.'!$E$19))</f>
        <v>1.0138235655019694</v>
      </c>
      <c r="P14" s="30">
        <f t="shared" si="2"/>
        <v>0.139999598</v>
      </c>
      <c r="Q14" s="30">
        <f>B14+SQRT(('Начальные условия и парам.'!$B$15+'Начальные условия и парам.'!$H$15)^2+('Начальные условия и парам.'!$K$15/2)^2)*COS(RADIANS(J14-'Начальные условия и парам.'!$E$19))</f>
        <v>7.7167763898730222</v>
      </c>
      <c r="R14" s="30">
        <f>C14+SQRT(('Начальные условия и парам.'!$B$15+'Начальные условия и парам.'!$H$15)^2+('Начальные условия и парам.'!$K$15/2)^2)*SIN(RADIANS(J14-'Начальные условия и парам.'!$E$19))</f>
        <v>-0.8655616760698468</v>
      </c>
      <c r="T14" s="30">
        <f t="shared" si="3"/>
        <v>0.139999598</v>
      </c>
      <c r="U14" s="30">
        <f>B14+SQRT(('Начальные условия и парам.'!$E$15)^2+('Начальные условия и парам.'!$K$15/2)^2)*COS(RADIANS(J14+PI()+'Начальные условия и парам.'!$H$19))</f>
        <v>5.5817214300929967</v>
      </c>
      <c r="V14" s="30">
        <f>C14+SQRT(('Начальные условия и парам.'!$E$15)^2+('Начальные условия и парам.'!$K$15/2)^2)*SIN(RADIANS(J14+PI()+'Начальные условия и парам.'!$H$19))</f>
        <v>2.2132535499587553</v>
      </c>
      <c r="X14" s="30">
        <f t="shared" si="4"/>
        <v>0.139999598</v>
      </c>
      <c r="Y14" s="30">
        <f>B14+SQRT(('Начальные условия и парам.'!$E$15)^2+('Начальные условия и парам.'!$K$15/2)^2)*COS(RADIANS(J14+PI()-'Начальные условия и парам.'!$H$19))</f>
        <v>5.0017063529442556</v>
      </c>
      <c r="Z14" s="30">
        <f>C14+SQRT(('Начальные условия и парам.'!$E$15)^2+('Начальные условия и парам.'!$K$15/2)^2)*SIN(RADIANS(J14+PI()-'Начальные условия и парам.'!$H$19))</f>
        <v>0.2992048279351649</v>
      </c>
      <c r="AD14">
        <v>3.6854798765901404</v>
      </c>
      <c r="AE14">
        <v>2.8880164246890176</v>
      </c>
    </row>
    <row r="15" spans="1:31" x14ac:dyDescent="0.25">
      <c r="A15" s="30">
        <f>'аксел-ры 1 и 2 и интегр-ие  '!M18</f>
        <v>0.14999996099999999</v>
      </c>
      <c r="B15" s="30">
        <f>'аксел-ры 1 и 2 и интегр-ие  '!P18</f>
        <v>2.5904410647219533</v>
      </c>
      <c r="C15" s="30">
        <f>'аксел-ры 1 и 2 и интегр-ие  '!Y18</f>
        <v>2.0696140787787165</v>
      </c>
      <c r="D15" s="12"/>
      <c r="E15" s="30">
        <f>'аксел-ры 1 и 2 и интегр-ие  '!Q18</f>
        <v>0.14999996099999999</v>
      </c>
      <c r="F15" s="30">
        <f>'аксел-ры 1 и 2 и интегр-ие  '!T18</f>
        <v>4.4698263062937702</v>
      </c>
      <c r="G15" s="30">
        <f>'аксел-ры 1 и 2 и интегр-ие  '!AC18</f>
        <v>1.3855737921273794</v>
      </c>
      <c r="H15" s="12"/>
      <c r="I15" s="30">
        <f t="shared" si="0"/>
        <v>0.14999996099999999</v>
      </c>
      <c r="J15" s="30">
        <f>DEGREES(ASIN((G15-C15)/'Начальные условия и парам.'!$B$15))</f>
        <v>-19.999999999999989</v>
      </c>
      <c r="L15" s="30">
        <f t="shared" si="1"/>
        <v>0.14999996099999999</v>
      </c>
      <c r="M15" s="30">
        <f>B15+SQRT(('Начальные условия и парам.'!$B$15+'Начальные условия и парам.'!$H$15)^2+('Начальные условия и парам.'!$K$15/2)^2)*COS(RADIANS(J15+'Начальные условия и парам.'!$E$19))</f>
        <v>8.5706169327630732</v>
      </c>
      <c r="N15" s="30">
        <f>C15+SQRT(('Начальные условия и парам.'!$B$15+'Начальные условия и парам.'!$H$15)^2+('Начальные условия и парам.'!$K$15/2)^2)*SIN(RADIANS(J15+'Начальные условия и парам.'!$E$19))</f>
        <v>0.95718583961061365</v>
      </c>
      <c r="P15" s="30">
        <f t="shared" si="2"/>
        <v>0.14999996099999999</v>
      </c>
      <c r="Q15" s="30">
        <f>B15+SQRT(('Начальные условия и парам.'!$B$15+'Начальные условия и парам.'!$H$15)^2+('Начальные условия и парам.'!$K$15/2)^2)*COS(RADIANS(J15-'Начальные условия и парам.'!$E$19))</f>
        <v>7.8865766461117355</v>
      </c>
      <c r="R15" s="30">
        <f>C15+SQRT(('Начальные условия и парам.'!$B$15+'Начальные условия и парам.'!$H$15)^2+('Начальные условия и парам.'!$K$15/2)^2)*SIN(RADIANS(J15-'Начальные условия и парам.'!$E$19))</f>
        <v>-0.92219940196120298</v>
      </c>
      <c r="T15" s="30">
        <f t="shared" si="3"/>
        <v>0.14999996099999999</v>
      </c>
      <c r="U15" s="30">
        <f>B15+SQRT(('Начальные условия и парам.'!$E$15)^2+('Начальные условия и парам.'!$K$15/2)^2)*COS(RADIANS(J15+PI()+'Начальные условия и парам.'!$H$19))</f>
        <v>5.75152168633171</v>
      </c>
      <c r="V15" s="30">
        <f>C15+SQRT(('Начальные условия и парам.'!$E$15)^2+('Начальные условия и парам.'!$K$15/2)^2)*SIN(RADIANS(J15+PI()+'Начальные условия и парам.'!$H$19))</f>
        <v>2.1566158240673992</v>
      </c>
      <c r="X15" s="30">
        <f t="shared" si="4"/>
        <v>0.14999996099999999</v>
      </c>
      <c r="Y15" s="30">
        <f>B15+SQRT(('Начальные условия и парам.'!$E$15)^2+('Начальные условия и парам.'!$K$15/2)^2)*COS(RADIANS(J15+PI()-'Начальные условия и парам.'!$H$19))</f>
        <v>5.171506609182968</v>
      </c>
      <c r="Z15" s="30">
        <f>C15+SQRT(('Начальные условия и парам.'!$E$15)^2+('Начальные условия и парам.'!$K$15/2)^2)*SIN(RADIANS(J15+PI()-'Начальные условия и парам.'!$H$19))</f>
        <v>0.24256710204380849</v>
      </c>
      <c r="AD15">
        <v>3.8594472668727922</v>
      </c>
      <c r="AE15">
        <v>2.8249126581695361</v>
      </c>
    </row>
    <row r="16" spans="1:31" x14ac:dyDescent="0.25">
      <c r="A16" s="30">
        <f>'аксел-ры 1 и 2 и интегр-ие  '!M19</f>
        <v>0.15999983300000001</v>
      </c>
      <c r="B16" s="30">
        <f>'аксел-ры 1 и 2 и интегр-ие  '!P19</f>
        <v>2.7593990053107178</v>
      </c>
      <c r="C16" s="30">
        <f>'аксел-ры 1 и 2 и интегр-ие  '!Y19</f>
        <v>2.0144261060451054</v>
      </c>
      <c r="D16" s="12"/>
      <c r="E16" s="30">
        <f>'аксел-ры 1 и 2 и интегр-ие  '!Q19</f>
        <v>0.15999983300000001</v>
      </c>
      <c r="F16" s="30">
        <f>'аксел-ры 1 и 2 и интегр-ие  '!T19</f>
        <v>4.6387842468825351</v>
      </c>
      <c r="G16" s="30">
        <f>'аксел-ры 1 и 2 и интегр-ие  '!AC19</f>
        <v>1.3303858193937683</v>
      </c>
      <c r="H16" s="12"/>
      <c r="I16" s="30">
        <f t="shared" si="0"/>
        <v>0.15999983300000001</v>
      </c>
      <c r="J16" s="30">
        <f>DEGREES(ASIN((G16-C16)/'Начальные условия и парам.'!$B$15))</f>
        <v>-19.999999999999989</v>
      </c>
      <c r="L16" s="30">
        <f t="shared" si="1"/>
        <v>0.15999983300000001</v>
      </c>
      <c r="M16" s="30">
        <f>B16+SQRT(('Начальные условия и парам.'!$B$15+'Начальные условия и парам.'!$H$15)^2+('Начальные условия и парам.'!$K$15/2)^2)*COS(RADIANS(J16+'Начальные условия и парам.'!$E$19))</f>
        <v>8.7395748733518364</v>
      </c>
      <c r="N16" s="30">
        <f>C16+SQRT(('Начальные условия и парам.'!$B$15+'Начальные условия и парам.'!$H$15)^2+('Начальные условия и парам.'!$K$15/2)^2)*SIN(RADIANS(J16+'Начальные условия и парам.'!$E$19))</f>
        <v>0.90199786687700256</v>
      </c>
      <c r="P16" s="30">
        <f t="shared" si="2"/>
        <v>0.15999983300000001</v>
      </c>
      <c r="Q16" s="30">
        <f>B16+SQRT(('Начальные условия и парам.'!$B$15+'Начальные условия и парам.'!$H$15)^2+('Начальные условия и парам.'!$K$15/2)^2)*COS(RADIANS(J16-'Начальные условия и парам.'!$E$19))</f>
        <v>8.0555345867004995</v>
      </c>
      <c r="R16" s="30">
        <f>C16+SQRT(('Начальные условия и парам.'!$B$15+'Начальные условия и парам.'!$H$15)^2+('Начальные условия и парам.'!$K$15/2)^2)*SIN(RADIANS(J16-'Начальные условия и парам.'!$E$19))</f>
        <v>-0.97738737469481407</v>
      </c>
      <c r="T16" s="30">
        <f t="shared" si="3"/>
        <v>0.15999983300000001</v>
      </c>
      <c r="U16" s="30">
        <f>B16+SQRT(('Начальные условия и парам.'!$E$15)^2+('Начальные условия и парам.'!$K$15/2)^2)*COS(RADIANS(J16+PI()+'Начальные условия и парам.'!$H$19))</f>
        <v>5.920479626920474</v>
      </c>
      <c r="V16" s="30">
        <f>C16+SQRT(('Начальные условия и парам.'!$E$15)^2+('Начальные условия и парам.'!$K$15/2)^2)*SIN(RADIANS(J16+PI()+'Начальные условия и парам.'!$H$19))</f>
        <v>2.1014278513337881</v>
      </c>
      <c r="X16" s="30">
        <f t="shared" si="4"/>
        <v>0.15999983300000001</v>
      </c>
      <c r="Y16" s="30">
        <f>B16+SQRT(('Начальные условия и парам.'!$E$15)^2+('Начальные условия и парам.'!$K$15/2)^2)*COS(RADIANS(J16+PI()-'Начальные условия и парам.'!$H$19))</f>
        <v>5.3404645497717329</v>
      </c>
      <c r="Z16" s="30">
        <f>C16+SQRT(('Начальные условия и парам.'!$E$15)^2+('Начальные условия и парам.'!$K$15/2)^2)*SIN(RADIANS(J16+PI()-'Начальные условия и парам.'!$H$19))</f>
        <v>0.1873791293101974</v>
      </c>
      <c r="AD16">
        <v>4.032813573951926</v>
      </c>
      <c r="AE16">
        <v>2.7621041499293746</v>
      </c>
    </row>
    <row r="17" spans="1:31" x14ac:dyDescent="0.25">
      <c r="A17" s="30">
        <f>'аксел-ры 1 и 2 и интегр-ие  '!M20</f>
        <v>0.16999968900000001</v>
      </c>
      <c r="B17" s="30">
        <f>'аксел-ры 1 и 2 и интегр-ие  '!P20</f>
        <v>2.9273406152497015</v>
      </c>
      <c r="C17" s="30">
        <f>'аксел-ры 1 и 2 и интегр-ие  '!Y20</f>
        <v>1.9600528909214683</v>
      </c>
      <c r="D17" s="12"/>
      <c r="E17" s="30">
        <f>'аксел-ры 1 и 2 и интегр-ие  '!Q20</f>
        <v>0.16999968900000001</v>
      </c>
      <c r="F17" s="30">
        <f>'аксел-ры 1 и 2 и интегр-ие  '!T20</f>
        <v>4.8067258568215188</v>
      </c>
      <c r="G17" s="30">
        <f>'аксел-ры 1 и 2 и интегр-ие  '!AC20</f>
        <v>1.276012604270131</v>
      </c>
      <c r="H17" s="12"/>
      <c r="I17" s="30">
        <f t="shared" si="0"/>
        <v>0.16999968900000001</v>
      </c>
      <c r="J17" s="30">
        <f>DEGREES(ASIN((G17-C17)/'Начальные условия и парам.'!$B$15))</f>
        <v>-19.999999999999996</v>
      </c>
      <c r="L17" s="30">
        <f t="shared" si="1"/>
        <v>0.16999968900000001</v>
      </c>
      <c r="M17" s="30">
        <f>B17+SQRT(('Начальные условия и парам.'!$B$15+'Начальные условия и парам.'!$H$15)^2+('Начальные условия и парам.'!$K$15/2)^2)*COS(RADIANS(J17+'Начальные условия и парам.'!$E$19))</f>
        <v>8.90751648329082</v>
      </c>
      <c r="N17" s="30">
        <f>C17+SQRT(('Начальные условия и парам.'!$B$15+'Начальные условия и парам.'!$H$15)^2+('Начальные условия и парам.'!$K$15/2)^2)*SIN(RADIANS(J17+'Начальные условия и парам.'!$E$19))</f>
        <v>0.84762465175336454</v>
      </c>
      <c r="P17" s="30">
        <f t="shared" si="2"/>
        <v>0.16999968900000001</v>
      </c>
      <c r="Q17" s="30">
        <f>B17+SQRT(('Начальные условия и парам.'!$B$15+'Начальные условия и парам.'!$H$15)^2+('Начальные условия и парам.'!$K$15/2)^2)*COS(RADIANS(J17-'Начальные условия и парам.'!$E$19))</f>
        <v>8.2234761966394831</v>
      </c>
      <c r="R17" s="30">
        <f>C17+SQRT(('Начальные условия и парам.'!$B$15+'Начальные условия и парам.'!$H$15)^2+('Начальные условия и парам.'!$K$15/2)^2)*SIN(RADIANS(J17-'Начальные условия и парам.'!$E$19))</f>
        <v>-1.0317605898184516</v>
      </c>
      <c r="T17" s="30">
        <f t="shared" si="3"/>
        <v>0.16999968900000001</v>
      </c>
      <c r="U17" s="30">
        <f>B17+SQRT(('Начальные условия и парам.'!$E$15)^2+('Начальные условия и парам.'!$K$15/2)^2)*COS(RADIANS(J17+PI()+'Начальные условия и парам.'!$H$19))</f>
        <v>6.0884212368594577</v>
      </c>
      <c r="V17" s="30">
        <f>C17+SQRT(('Начальные условия и парам.'!$E$15)^2+('Начальные условия и парам.'!$K$15/2)^2)*SIN(RADIANS(J17+PI()+'Начальные условия и парам.'!$H$19))</f>
        <v>2.0470546362101505</v>
      </c>
      <c r="X17" s="30">
        <f t="shared" si="4"/>
        <v>0.16999968900000001</v>
      </c>
      <c r="Y17" s="30">
        <f>B17+SQRT(('Начальные условия и парам.'!$E$15)^2+('Начальные условия и парам.'!$K$15/2)^2)*COS(RADIANS(J17+PI()-'Начальные условия и парам.'!$H$19))</f>
        <v>5.5084061597107166</v>
      </c>
      <c r="Z17" s="30">
        <f>C17+SQRT(('Начальные условия и парам.'!$E$15)^2+('Начальные условия и парам.'!$K$15/2)^2)*SIN(RADIANS(J17+PI()-'Начальные условия и парам.'!$H$19))</f>
        <v>0.13300591418656005</v>
      </c>
      <c r="AD17">
        <v>3.1054647994413989</v>
      </c>
      <c r="AE17">
        <v>0.9739677026654272</v>
      </c>
    </row>
    <row r="18" spans="1:31" x14ac:dyDescent="0.25">
      <c r="A18" s="30">
        <f>'аксел-ры 1 и 2 и интегр-ие  '!M21</f>
        <v>0.17999954500000001</v>
      </c>
      <c r="B18" s="30">
        <f>'аксел-ры 1 и 2 и интегр-ие  '!P21</f>
        <v>3.0942283618340602</v>
      </c>
      <c r="C18" s="30">
        <f>'аксел-ры 1 и 2 и интегр-ие  '!Y21</f>
        <v>1.9058341190214056</v>
      </c>
      <c r="D18" s="12"/>
      <c r="E18" s="30">
        <f>'аксел-ры 1 и 2 и интегр-ие  '!Q21</f>
        <v>0.17999954500000001</v>
      </c>
      <c r="F18" s="30">
        <f>'аксел-ры 1 и 2 и интегр-ие  '!T21</f>
        <v>4.9736136034058767</v>
      </c>
      <c r="G18" s="30">
        <f>'аксел-ры 1 и 2 и интегр-ие  '!AC21</f>
        <v>1.2217938323700683</v>
      </c>
      <c r="H18" s="12"/>
      <c r="I18" s="30">
        <f t="shared" si="0"/>
        <v>0.17999954500000001</v>
      </c>
      <c r="J18" s="30">
        <f>DEGREES(ASIN((G18-C18)/'Начальные условия и парам.'!$B$15))</f>
        <v>-19.999999999999996</v>
      </c>
      <c r="L18" s="30">
        <f t="shared" si="1"/>
        <v>0.17999954500000001</v>
      </c>
      <c r="M18" s="30">
        <f>B18+SQRT(('Начальные условия и парам.'!$B$15+'Начальные условия и парам.'!$H$15)^2+('Начальные условия и парам.'!$K$15/2)^2)*COS(RADIANS(J18+'Начальные условия и парам.'!$E$19))</f>
        <v>9.0744042298751797</v>
      </c>
      <c r="N18" s="30">
        <f>C18+SQRT(('Начальные условия и парам.'!$B$15+'Начальные условия и парам.'!$H$15)^2+('Начальные условия и парам.'!$K$15/2)^2)*SIN(RADIANS(J18+'Начальные условия и парам.'!$E$19))</f>
        <v>0.79340587985330191</v>
      </c>
      <c r="P18" s="30">
        <f t="shared" si="2"/>
        <v>0.17999954500000001</v>
      </c>
      <c r="Q18" s="30">
        <f>B18+SQRT(('Начальные условия и парам.'!$B$15+'Начальные условия и парам.'!$H$15)^2+('Начальные условия и парам.'!$K$15/2)^2)*COS(RADIANS(J18-'Начальные условия и парам.'!$E$19))</f>
        <v>8.390363943223841</v>
      </c>
      <c r="R18" s="30">
        <f>C18+SQRT(('Начальные условия и парам.'!$B$15+'Начальные условия и парам.'!$H$15)^2+('Начальные условия и парам.'!$K$15/2)^2)*SIN(RADIANS(J18-'Начальные условия и парам.'!$E$19))</f>
        <v>-1.0859793617185143</v>
      </c>
      <c r="T18" s="30">
        <f t="shared" si="3"/>
        <v>0.17999954500000001</v>
      </c>
      <c r="U18" s="30">
        <f>B18+SQRT(('Начальные условия и парам.'!$E$15)^2+('Начальные условия и парам.'!$K$15/2)^2)*COS(RADIANS(J18+PI()+'Начальные условия и парам.'!$H$19))</f>
        <v>6.2553089834438165</v>
      </c>
      <c r="V18" s="30">
        <f>C18+SQRT(('Начальные условия и парам.'!$E$15)^2+('Начальные условия и парам.'!$K$15/2)^2)*SIN(RADIANS(J18+PI()+'Начальные условия и парам.'!$H$19))</f>
        <v>1.9928358643100876</v>
      </c>
      <c r="X18" s="30">
        <f t="shared" si="4"/>
        <v>0.17999954500000001</v>
      </c>
      <c r="Y18" s="30">
        <f>B18+SQRT(('Начальные условия и парам.'!$E$15)^2+('Начальные условия и парам.'!$K$15/2)^2)*COS(RADIANS(J18+PI()-'Начальные условия и парам.'!$H$19))</f>
        <v>5.6752939062950745</v>
      </c>
      <c r="Z18" s="30">
        <f>C18+SQRT(('Начальные условия и парам.'!$E$15)^2+('Начальные условия и парам.'!$K$15/2)^2)*SIN(RADIANS(J18+PI()-'Начальные условия и парам.'!$H$19))</f>
        <v>7.8787142286497414E-2</v>
      </c>
      <c r="AD18">
        <v>3.2794321897240497</v>
      </c>
      <c r="AE18">
        <v>0.91086393614594607</v>
      </c>
    </row>
    <row r="19" spans="1:31" x14ac:dyDescent="0.25">
      <c r="A19" s="30">
        <f>'аксел-ры 1 и 2 и интегр-ие  '!M22</f>
        <v>0.18999992299999999</v>
      </c>
      <c r="B19" s="30">
        <f>'аксел-ры 1 и 2 и интегр-ие  '!P22</f>
        <v>3.2604395963364796</v>
      </c>
      <c r="C19" s="30">
        <f>'аксел-ры 1 и 2 и интегр-ие  '!Y22</f>
        <v>1.8516848983237255</v>
      </c>
      <c r="D19" s="12"/>
      <c r="E19" s="30">
        <f>'аксел-ры 1 и 2 и интегр-ие  '!Q22</f>
        <v>0.18999992299999999</v>
      </c>
      <c r="F19" s="30">
        <f>'аксел-ры 1 и 2 и интегр-ие  '!T22</f>
        <v>5.1398248379082965</v>
      </c>
      <c r="G19" s="30">
        <f>'аксел-ры 1 и 2 и интегр-ие  '!AC22</f>
        <v>1.1676446116723882</v>
      </c>
      <c r="H19" s="12"/>
      <c r="I19" s="30">
        <f t="shared" si="0"/>
        <v>0.18999992299999999</v>
      </c>
      <c r="J19" s="30">
        <f>DEGREES(ASIN((G19-C19)/'Начальные условия и парам.'!$B$15))</f>
        <v>-19.999999999999996</v>
      </c>
      <c r="L19" s="30">
        <f t="shared" si="1"/>
        <v>0.18999992299999999</v>
      </c>
      <c r="M19" s="30">
        <f>B19+SQRT(('Начальные условия и парам.'!$B$15+'Начальные условия и парам.'!$H$15)^2+('Начальные условия и парам.'!$K$15/2)^2)*COS(RADIANS(J19+'Начальные условия и парам.'!$E$19))</f>
        <v>9.2406154643775977</v>
      </c>
      <c r="N19" s="30">
        <f>C19+SQRT(('Начальные условия и парам.'!$B$15+'Начальные условия и парам.'!$H$15)^2+('Начальные условия и парам.'!$K$15/2)^2)*SIN(RADIANS(J19+'Начальные условия и парам.'!$E$19))</f>
        <v>0.73925665915562178</v>
      </c>
      <c r="P19" s="30">
        <f t="shared" si="2"/>
        <v>0.18999992299999999</v>
      </c>
      <c r="Q19" s="30">
        <f>B19+SQRT(('Начальные условия и парам.'!$B$15+'Начальные условия и парам.'!$H$15)^2+('Начальные условия и парам.'!$K$15/2)^2)*COS(RADIANS(J19-'Начальные условия и парам.'!$E$19))</f>
        <v>8.5565751777262609</v>
      </c>
      <c r="R19" s="30">
        <f>C19+SQRT(('Начальные условия и парам.'!$B$15+'Начальные условия и парам.'!$H$15)^2+('Начальные условия и парам.'!$K$15/2)^2)*SIN(RADIANS(J19-'Начальные условия и парам.'!$E$19))</f>
        <v>-1.1401285824161944</v>
      </c>
      <c r="T19" s="30">
        <f t="shared" si="3"/>
        <v>0.18999992299999999</v>
      </c>
      <c r="U19" s="30">
        <f>B19+SQRT(('Начальные условия и парам.'!$E$15)^2+('Начальные условия и парам.'!$K$15/2)^2)*COS(RADIANS(J19+PI()+'Начальные условия и парам.'!$H$19))</f>
        <v>6.4215202179462363</v>
      </c>
      <c r="V19" s="30">
        <f>C19+SQRT(('Начальные условия и парам.'!$E$15)^2+('Начальные условия и парам.'!$K$15/2)^2)*SIN(RADIANS(J19+PI()+'Начальные условия и парам.'!$H$19))</f>
        <v>1.9386866436124075</v>
      </c>
      <c r="X19" s="30">
        <f t="shared" si="4"/>
        <v>0.18999992299999999</v>
      </c>
      <c r="Y19" s="30">
        <f>B19+SQRT(('Начальные условия и парам.'!$E$15)^2+('Начальные условия и парам.'!$K$15/2)^2)*COS(RADIANS(J19+PI()-'Начальные условия и парам.'!$H$19))</f>
        <v>5.8415051407974943</v>
      </c>
      <c r="Z19" s="30">
        <f>C19+SQRT(('Начальные условия и парам.'!$E$15)^2+('Начальные условия и парам.'!$K$15/2)^2)*SIN(RADIANS(J19+PI()-'Начальные условия и парам.'!$H$19))</f>
        <v>2.463792158881728E-2</v>
      </c>
      <c r="AD19">
        <v>3.4527984968031844</v>
      </c>
      <c r="AE19">
        <v>0.84805542790578414</v>
      </c>
    </row>
    <row r="20" spans="1:31" x14ac:dyDescent="0.25">
      <c r="A20" s="30">
        <f>'аксел-ры 1 и 2 и интегр-ие  '!M23</f>
        <v>0.19999977899999999</v>
      </c>
      <c r="B20" s="30">
        <f>'аксел-ры 1 и 2 и интегр-ие  '!P23</f>
        <v>3.4266865264137878</v>
      </c>
      <c r="C20" s="30">
        <f>'аксел-ры 1 и 2 и интегр-ие  '!Y23</f>
        <v>1.7981730723061882</v>
      </c>
      <c r="D20" s="12"/>
      <c r="E20" s="30">
        <f>'аксел-ры 1 и 2 и интегр-ие  '!Q23</f>
        <v>0.19999977899999999</v>
      </c>
      <c r="F20" s="30">
        <f>'аксел-ры 1 и 2 и интегр-ие  '!T23</f>
        <v>5.3060717679856051</v>
      </c>
      <c r="G20" s="30">
        <f>'аксел-ры 1 и 2 и интегр-ие  '!AC23</f>
        <v>1.1141327856548509</v>
      </c>
      <c r="H20" s="12"/>
      <c r="I20" s="30">
        <f t="shared" si="0"/>
        <v>0.19999977899999999</v>
      </c>
      <c r="J20" s="30">
        <f>DEGREES(ASIN((G20-C20)/'Начальные условия и парам.'!$B$15))</f>
        <v>-19.999999999999996</v>
      </c>
      <c r="L20" s="30">
        <f t="shared" si="1"/>
        <v>0.19999977899999999</v>
      </c>
      <c r="M20" s="30">
        <f>B20+SQRT(('Начальные условия и парам.'!$B$15+'Начальные условия и парам.'!$H$15)^2+('Начальные условия и парам.'!$K$15/2)^2)*COS(RADIANS(J20+'Начальные условия и парам.'!$E$19))</f>
        <v>9.4068623944549064</v>
      </c>
      <c r="N20" s="30">
        <f>C20+SQRT(('Начальные условия и парам.'!$B$15+'Начальные условия и парам.'!$H$15)^2+('Начальные условия и парам.'!$K$15/2)^2)*SIN(RADIANS(J20+'Начальные условия и парам.'!$E$19))</f>
        <v>0.68574483313808443</v>
      </c>
      <c r="P20" s="30">
        <f t="shared" si="2"/>
        <v>0.19999977899999999</v>
      </c>
      <c r="Q20" s="30">
        <f>B20+SQRT(('Начальные условия и парам.'!$B$15+'Начальные условия и парам.'!$H$15)^2+('Начальные условия и парам.'!$K$15/2)^2)*COS(RADIANS(J20-'Начальные условия и парам.'!$E$19))</f>
        <v>8.7228221078035695</v>
      </c>
      <c r="R20" s="30">
        <f>C20+SQRT(('Начальные условия и парам.'!$B$15+'Начальные условия и парам.'!$H$15)^2+('Начальные условия и парам.'!$K$15/2)^2)*SIN(RADIANS(J20-'Начальные условия и парам.'!$E$19))</f>
        <v>-1.1936404084337318</v>
      </c>
      <c r="T20" s="30">
        <f t="shared" si="3"/>
        <v>0.19999977899999999</v>
      </c>
      <c r="U20" s="30">
        <f>B20+SQRT(('Начальные условия и парам.'!$E$15)^2+('Начальные условия и парам.'!$K$15/2)^2)*COS(RADIANS(J20+PI()+'Начальные условия и парам.'!$H$19))</f>
        <v>6.587767148023544</v>
      </c>
      <c r="V20" s="30">
        <f>C20+SQRT(('Начальные условия и парам.'!$E$15)^2+('Начальные условия и парам.'!$K$15/2)^2)*SIN(RADIANS(J20+PI()+'Начальные условия и парам.'!$H$19))</f>
        <v>1.8851748175948702</v>
      </c>
      <c r="X20" s="30">
        <f t="shared" si="4"/>
        <v>0.19999977899999999</v>
      </c>
      <c r="Y20" s="30">
        <f>B20+SQRT(('Начальные условия и парам.'!$E$15)^2+('Начальные условия и парам.'!$K$15/2)^2)*COS(RADIANS(J20+PI()-'Начальные условия и парам.'!$H$19))</f>
        <v>6.0077520708748029</v>
      </c>
      <c r="Z20" s="30">
        <f>C20+SQRT(('Начальные условия и парам.'!$E$15)^2+('Начальные условия и парам.'!$K$15/2)^2)*SIN(RADIANS(J20+PI()-'Начальные условия и парам.'!$H$19))</f>
        <v>-2.8873904428720065E-2</v>
      </c>
    </row>
    <row r="21" spans="1:31" x14ac:dyDescent="0.25">
      <c r="A21" s="30">
        <f>'аксел-ры 1 и 2 и интегр-ие  '!M24</f>
        <v>0.20999965100000001</v>
      </c>
      <c r="B21" s="30">
        <f>'аксел-ры 1 и 2 и интегр-ие  '!P24</f>
        <v>3.5934451420510278</v>
      </c>
      <c r="C21" s="30">
        <f>'аксел-ры 1 и 2 и интегр-ие  '!Y24</f>
        <v>1.7459586131075522</v>
      </c>
      <c r="D21" s="12"/>
      <c r="E21" s="30">
        <f>'аксел-ры 1 и 2 и интегр-ие  '!Q24</f>
        <v>0.20999965100000001</v>
      </c>
      <c r="F21" s="30">
        <f>'аксел-ры 1 и 2 и интегр-ие  '!T24</f>
        <v>5.4728303836228447</v>
      </c>
      <c r="G21" s="30">
        <f>'аксел-ры 1 и 2 и интегр-ие  '!AC24</f>
        <v>1.0619183264562149</v>
      </c>
      <c r="H21" s="12"/>
      <c r="I21" s="30">
        <f t="shared" si="0"/>
        <v>0.20999965100000001</v>
      </c>
      <c r="J21" s="30">
        <f>DEGREES(ASIN((G21-C21)/'Начальные условия и парам.'!$B$15))</f>
        <v>-19.999999999999996</v>
      </c>
      <c r="L21" s="30">
        <f t="shared" si="1"/>
        <v>0.20999965100000001</v>
      </c>
      <c r="M21" s="30">
        <f>B21+SQRT(('Начальные условия и парам.'!$B$15+'Начальные условия и парам.'!$H$15)^2+('Начальные условия и парам.'!$K$15/2)^2)*COS(RADIANS(J21+'Начальные условия и парам.'!$E$19))</f>
        <v>9.5736210100921468</v>
      </c>
      <c r="N21" s="30">
        <f>C21+SQRT(('Начальные условия и парам.'!$B$15+'Начальные условия и парам.'!$H$15)^2+('Начальные условия и парам.'!$K$15/2)^2)*SIN(RADIANS(J21+'Начальные условия и парам.'!$E$19))</f>
        <v>0.63353037393944844</v>
      </c>
      <c r="P21" s="30">
        <f t="shared" si="2"/>
        <v>0.20999965100000001</v>
      </c>
      <c r="Q21" s="30">
        <f>B21+SQRT(('Начальные условия и парам.'!$B$15+'Начальные условия и парам.'!$H$15)^2+('Начальные условия и парам.'!$K$15/2)^2)*COS(RADIANS(J21-'Начальные условия и парам.'!$E$19))</f>
        <v>8.8895807234408082</v>
      </c>
      <c r="R21" s="30">
        <f>C21+SQRT(('Начальные условия и парам.'!$B$15+'Начальные условия и парам.'!$H$15)^2+('Начальные условия и парам.'!$K$15/2)^2)*SIN(RADIANS(J21-'Начальные условия и парам.'!$E$19))</f>
        <v>-1.2458548676323677</v>
      </c>
      <c r="T21" s="30">
        <f t="shared" si="3"/>
        <v>0.20999965100000001</v>
      </c>
      <c r="U21" s="30">
        <f>B21+SQRT(('Начальные условия и парам.'!$E$15)^2+('Начальные условия и парам.'!$K$15/2)^2)*COS(RADIANS(J21+PI()+'Начальные условия и парам.'!$H$19))</f>
        <v>6.7545257636607836</v>
      </c>
      <c r="V21" s="30">
        <f>C21+SQRT(('Начальные условия и парам.'!$E$15)^2+('Начальные условия и парам.'!$K$15/2)^2)*SIN(RADIANS(J21+PI()+'Начальные условия и парам.'!$H$19))</f>
        <v>1.8329603583962342</v>
      </c>
      <c r="X21" s="30">
        <f t="shared" si="4"/>
        <v>0.20999965100000001</v>
      </c>
      <c r="Y21" s="30">
        <f>B21+SQRT(('Начальные условия и парам.'!$E$15)^2+('Начальные условия и парам.'!$K$15/2)^2)*COS(RADIANS(J21+PI()-'Начальные условия и парам.'!$H$19))</f>
        <v>6.1745106865120425</v>
      </c>
      <c r="Z21" s="30">
        <f>C21+SQRT(('Начальные условия и парам.'!$E$15)^2+('Начальные условия и парам.'!$K$15/2)^2)*SIN(RADIANS(J21+PI()-'Начальные условия и парам.'!$H$19))</f>
        <v>-8.1088363627356053E-2</v>
      </c>
    </row>
    <row r="22" spans="1:31" x14ac:dyDescent="0.25">
      <c r="A22" s="30">
        <f>'аксел-ры 1 и 2 и интегр-ие  '!M25</f>
        <v>0.22000001399999999</v>
      </c>
      <c r="B22" s="30">
        <f>'аксел-ры 1 и 2 и интегр-ие  '!P25</f>
        <v>3.7603720442121653</v>
      </c>
      <c r="C22" s="30">
        <f>'аксел-ры 1 и 2 и интегр-ие  '!Y25</f>
        <v>1.6953111705023458</v>
      </c>
      <c r="D22" s="12"/>
      <c r="E22" s="30">
        <f>'аксел-ры 1 и 2 и интегр-ие  '!Q25</f>
        <v>0.22000001399999999</v>
      </c>
      <c r="F22" s="30">
        <f>'аксел-ры 1 и 2 и интегр-ие  '!T25</f>
        <v>5.6397572857839826</v>
      </c>
      <c r="G22" s="30">
        <f>'аксел-ры 1 и 2 и интегр-ие  '!AC25</f>
        <v>1.0112708838510085</v>
      </c>
      <c r="H22" s="12"/>
      <c r="I22" s="30">
        <f t="shared" si="0"/>
        <v>0.22000001399999999</v>
      </c>
      <c r="J22" s="30">
        <f>DEGREES(ASIN((G22-C22)/'Начальные условия и парам.'!$B$15))</f>
        <v>-19.999999999999996</v>
      </c>
      <c r="L22" s="30">
        <f t="shared" si="1"/>
        <v>0.22000001399999999</v>
      </c>
      <c r="M22" s="30">
        <f>B22+SQRT(('Начальные условия и парам.'!$B$15+'Начальные условия и парам.'!$H$15)^2+('Начальные условия и парам.'!$K$15/2)^2)*COS(RADIANS(J22+'Начальные условия и парам.'!$E$19))</f>
        <v>9.7405479122532839</v>
      </c>
      <c r="N22" s="30">
        <f>C22+SQRT(('Начальные условия и парам.'!$B$15+'Начальные условия и парам.'!$H$15)^2+('Начальные условия и парам.'!$K$15/2)^2)*SIN(RADIANS(J22+'Начальные условия и парам.'!$E$19))</f>
        <v>0.58288293133424207</v>
      </c>
      <c r="P22" s="30">
        <f t="shared" si="2"/>
        <v>0.22000001399999999</v>
      </c>
      <c r="Q22" s="30">
        <f>B22+SQRT(('Начальные условия и парам.'!$B$15+'Начальные условия и парам.'!$H$15)^2+('Начальные условия и парам.'!$K$15/2)^2)*COS(RADIANS(J22-'Начальные условия и парам.'!$E$19))</f>
        <v>9.056507625601947</v>
      </c>
      <c r="R22" s="30">
        <f>C22+SQRT(('Начальные условия и парам.'!$B$15+'Начальные условия и парам.'!$H$15)^2+('Начальные условия и парам.'!$K$15/2)^2)*SIN(RADIANS(J22-'Начальные условия и парам.'!$E$19))</f>
        <v>-1.2965023102375741</v>
      </c>
      <c r="T22" s="30">
        <f t="shared" si="3"/>
        <v>0.22000001399999999</v>
      </c>
      <c r="U22" s="30">
        <f>B22+SQRT(('Начальные условия и парам.'!$E$15)^2+('Начальные условия и парам.'!$K$15/2)^2)*COS(RADIANS(J22+PI()+'Начальные условия и парам.'!$H$19))</f>
        <v>6.9214526658219215</v>
      </c>
      <c r="V22" s="30">
        <f>C22+SQRT(('Начальные условия и парам.'!$E$15)^2+('Начальные условия и парам.'!$K$15/2)^2)*SIN(RADIANS(J22+PI()+'Начальные условия и парам.'!$H$19))</f>
        <v>1.7823129157910278</v>
      </c>
      <c r="X22" s="30">
        <f t="shared" si="4"/>
        <v>0.22000001399999999</v>
      </c>
      <c r="Y22" s="30">
        <f>B22+SQRT(('Начальные условия и парам.'!$E$15)^2+('Начальные условия и парам.'!$K$15/2)^2)*COS(RADIANS(J22+PI()-'Начальные условия и парам.'!$H$19))</f>
        <v>6.3414375886731804</v>
      </c>
      <c r="Z22" s="30">
        <f>C22+SQRT(('Начальные условия и парам.'!$E$15)^2+('Начальные условия и парам.'!$K$15/2)^2)*SIN(RADIANS(J22+PI()-'Начальные условия и парам.'!$H$19))</f>
        <v>-0.13173580623256242</v>
      </c>
    </row>
    <row r="23" spans="1:31" x14ac:dyDescent="0.25">
      <c r="A23" s="30">
        <f>'аксел-ры 1 и 2 и интегр-ие  '!M26</f>
        <v>0.22999987</v>
      </c>
      <c r="B23" s="30">
        <f>'аксел-ры 1 и 2 и интегр-ие  '!P26</f>
        <v>3.9265116491336491</v>
      </c>
      <c r="C23" s="30">
        <f>'аксел-ры 1 и 2 и интегр-ие  '!Y26</f>
        <v>1.6461811377107081</v>
      </c>
      <c r="D23" s="12"/>
      <c r="E23" s="30">
        <f>'аксел-ры 1 и 2 и интегр-ие  '!Q26</f>
        <v>0.22999987</v>
      </c>
      <c r="F23" s="30">
        <f>'аксел-ры 1 и 2 и интегр-ие  '!T26</f>
        <v>5.8058968907054664</v>
      </c>
      <c r="G23" s="30">
        <f>'аксел-ры 1 и 2 и интегр-ие  '!AC26</f>
        <v>0.96214085105937075</v>
      </c>
      <c r="H23" s="12"/>
      <c r="I23" s="30">
        <f t="shared" si="0"/>
        <v>0.22999987</v>
      </c>
      <c r="J23" s="30">
        <f>DEGREES(ASIN((G23-C23)/'Начальные условия и парам.'!$B$15))</f>
        <v>-19.999999999999996</v>
      </c>
      <c r="L23" s="30">
        <f t="shared" si="1"/>
        <v>0.22999987</v>
      </c>
      <c r="M23" s="30">
        <f>B23+SQRT(('Начальные условия и парам.'!$B$15+'Начальные условия и парам.'!$H$15)^2+('Начальные условия и парам.'!$K$15/2)^2)*COS(RADIANS(J23+'Начальные условия и парам.'!$E$19))</f>
        <v>9.9066875171747686</v>
      </c>
      <c r="N23" s="30">
        <f>C23+SQRT(('Начальные условия и парам.'!$B$15+'Начальные условия и парам.'!$H$15)^2+('Начальные условия и парам.'!$K$15/2)^2)*SIN(RADIANS(J23+'Начальные условия и парам.'!$E$19))</f>
        <v>0.53375289854260433</v>
      </c>
      <c r="P23" s="30">
        <f t="shared" si="2"/>
        <v>0.22999987</v>
      </c>
      <c r="Q23" s="30">
        <f>B23+SQRT(('Начальные условия и парам.'!$B$15+'Начальные условия и парам.'!$H$15)^2+('Начальные условия и парам.'!$K$15/2)^2)*COS(RADIANS(J23-'Начальные условия и парам.'!$E$19))</f>
        <v>9.2226472305234299</v>
      </c>
      <c r="R23" s="30">
        <f>C23+SQRT(('Начальные условия и парам.'!$B$15+'Начальные условия и парам.'!$H$15)^2+('Начальные условия и парам.'!$K$15/2)^2)*SIN(RADIANS(J23-'Начальные условия и парам.'!$E$19))</f>
        <v>-1.3456323430292119</v>
      </c>
      <c r="T23" s="30">
        <f t="shared" si="3"/>
        <v>0.22999987</v>
      </c>
      <c r="U23" s="30">
        <f>B23+SQRT(('Начальные условия и парам.'!$E$15)^2+('Начальные условия и парам.'!$K$15/2)^2)*COS(RADIANS(J23+PI()+'Начальные условия и парам.'!$H$19))</f>
        <v>7.0875922707434054</v>
      </c>
      <c r="V23" s="30">
        <f>C23+SQRT(('Начальные условия и парам.'!$E$15)^2+('Начальные условия и парам.'!$K$15/2)^2)*SIN(RADIANS(J23+PI()+'Начальные условия и парам.'!$H$19))</f>
        <v>1.7331828829993901</v>
      </c>
      <c r="X23" s="30">
        <f t="shared" si="4"/>
        <v>0.22999987</v>
      </c>
      <c r="Y23" s="30">
        <f>B23+SQRT(('Начальные условия и парам.'!$E$15)^2+('Начальные условия и парам.'!$K$15/2)^2)*COS(RADIANS(J23+PI()-'Начальные условия и парам.'!$H$19))</f>
        <v>6.5075771935946634</v>
      </c>
      <c r="Z23" s="30">
        <f>C23+SQRT(('Начальные условия и парам.'!$E$15)^2+('Начальные условия и парам.'!$K$15/2)^2)*SIN(RADIANS(J23+PI()-'Начальные условия и парам.'!$H$19))</f>
        <v>-0.18086583902420017</v>
      </c>
    </row>
    <row r="24" spans="1:31" x14ac:dyDescent="0.25">
      <c r="A24" s="30">
        <f>'аксел-ры 1 и 2 и интегр-ие  '!M27</f>
        <v>0.23999974099999999</v>
      </c>
      <c r="B24" s="30">
        <f>'аксел-ры 1 и 2 и интегр-ие  '!P27</f>
        <v>4.0910817291787893</v>
      </c>
      <c r="C24" s="30">
        <f>'аксел-ры 1 и 2 и интегр-ие  '!Y27</f>
        <v>1.5985295988674471</v>
      </c>
      <c r="D24" s="12"/>
      <c r="E24" s="30">
        <f>'аксел-ры 1 и 2 и интегр-ие  '!Q27</f>
        <v>0.23999974099999999</v>
      </c>
      <c r="F24" s="30">
        <f>'аксел-ры 1 и 2 и интегр-ие  '!T27</f>
        <v>5.9704669707506062</v>
      </c>
      <c r="G24" s="30">
        <f>'аксел-ры 1 и 2 и интегр-ие  '!AC27</f>
        <v>0.91448931221610974</v>
      </c>
      <c r="H24" s="12"/>
      <c r="I24" s="30">
        <f t="shared" si="0"/>
        <v>0.23999974099999999</v>
      </c>
      <c r="J24" s="30">
        <f>DEGREES(ASIN((G24-C24)/'Начальные условия и парам.'!$B$15))</f>
        <v>-19.999999999999996</v>
      </c>
      <c r="L24" s="30">
        <f t="shared" si="1"/>
        <v>0.23999974099999999</v>
      </c>
      <c r="M24" s="30">
        <f>B24+SQRT(('Начальные условия и парам.'!$B$15+'Начальные условия и парам.'!$H$15)^2+('Начальные условия и парам.'!$K$15/2)^2)*COS(RADIANS(J24+'Начальные условия и парам.'!$E$19))</f>
        <v>10.071257597219908</v>
      </c>
      <c r="N24" s="30">
        <f>C24+SQRT(('Начальные условия и парам.'!$B$15+'Начальные условия и парам.'!$H$15)^2+('Начальные условия и парам.'!$K$15/2)^2)*SIN(RADIANS(J24+'Начальные условия и парам.'!$E$19))</f>
        <v>0.48610135969934332</v>
      </c>
      <c r="P24" s="30">
        <f t="shared" si="2"/>
        <v>0.23999974099999999</v>
      </c>
      <c r="Q24" s="30">
        <f>B24+SQRT(('Начальные условия и парам.'!$B$15+'Начальные условия и парам.'!$H$15)^2+('Начальные условия и парам.'!$K$15/2)^2)*COS(RADIANS(J24-'Начальные условия и парам.'!$E$19))</f>
        <v>9.3872173105685697</v>
      </c>
      <c r="R24" s="30">
        <f>C24+SQRT(('Начальные условия и парам.'!$B$15+'Начальные условия и парам.'!$H$15)^2+('Начальные условия и парам.'!$K$15/2)^2)*SIN(RADIANS(J24-'Начальные условия и парам.'!$E$19))</f>
        <v>-1.3932838818724729</v>
      </c>
      <c r="T24" s="30">
        <f t="shared" si="3"/>
        <v>0.23999974099999999</v>
      </c>
      <c r="U24" s="30">
        <f>B24+SQRT(('Начальные условия и парам.'!$E$15)^2+('Начальные условия и парам.'!$K$15/2)^2)*COS(RADIANS(J24+PI()+'Начальные условия и парам.'!$H$19))</f>
        <v>7.2521623507885451</v>
      </c>
      <c r="V24" s="30">
        <f>C24+SQRT(('Начальные условия и парам.'!$E$15)^2+('Начальные условия и парам.'!$K$15/2)^2)*SIN(RADIANS(J24+PI()+'Начальные условия и парам.'!$H$19))</f>
        <v>1.685531344156129</v>
      </c>
      <c r="X24" s="30">
        <f t="shared" si="4"/>
        <v>0.23999974099999999</v>
      </c>
      <c r="Y24" s="30">
        <f>B24+SQRT(('Начальные условия и парам.'!$E$15)^2+('Начальные условия и парам.'!$K$15/2)^2)*COS(RADIANS(J24+PI()-'Начальные условия и парам.'!$H$19))</f>
        <v>6.672147273639804</v>
      </c>
      <c r="Z24" s="30">
        <f>C24+SQRT(('Начальные условия и парам.'!$E$15)^2+('Начальные условия и парам.'!$K$15/2)^2)*SIN(RADIANS(J24+PI()-'Начальные условия и парам.'!$H$19))</f>
        <v>-0.22851737786746118</v>
      </c>
    </row>
    <row r="25" spans="1:31" x14ac:dyDescent="0.25">
      <c r="A25" s="30">
        <f>'аксел-ры 1 и 2 и интегр-ие  '!M28</f>
        <v>0.24999959799999999</v>
      </c>
      <c r="B25" s="30">
        <f>'аксел-ры 1 и 2 и интегр-ие  '!P28</f>
        <v>4.2539573237325472</v>
      </c>
      <c r="C25" s="30">
        <f>'аксел-ры 1 и 2 и интегр-ие  '!Y28</f>
        <v>1.5524104678409349</v>
      </c>
      <c r="D25" s="12"/>
      <c r="E25" s="30">
        <f>'аксел-ры 1 и 2 и интегр-ие  '!Q28</f>
        <v>0.24999959799999999</v>
      </c>
      <c r="F25" s="30">
        <f>'аксел-ры 1 и 2 и интегр-ие  '!T28</f>
        <v>6.1333425653043641</v>
      </c>
      <c r="G25" s="30">
        <f>'аксел-ры 1 и 2 и интегр-ие  '!AC28</f>
        <v>0.86837018118959763</v>
      </c>
      <c r="H25" s="12"/>
      <c r="I25" s="30">
        <f t="shared" si="0"/>
        <v>0.24999959799999999</v>
      </c>
      <c r="J25" s="30">
        <f>DEGREES(ASIN((G25-C25)/'Начальные условия и парам.'!$B$15))</f>
        <v>-19.999999999999996</v>
      </c>
      <c r="L25" s="30">
        <f t="shared" si="1"/>
        <v>0.24999959799999999</v>
      </c>
      <c r="M25" s="30">
        <f>B25+SQRT(('Начальные условия и парам.'!$B$15+'Начальные условия и парам.'!$H$15)^2+('Начальные условия и парам.'!$K$15/2)^2)*COS(RADIANS(J25+'Начальные условия и парам.'!$E$19))</f>
        <v>10.234133191773665</v>
      </c>
      <c r="N25" s="30">
        <f>C25+SQRT(('Начальные условия и парам.'!$B$15+'Начальные условия и парам.'!$H$15)^2+('Начальные условия и парам.'!$K$15/2)^2)*SIN(RADIANS(J25+'Начальные условия и парам.'!$E$19))</f>
        <v>0.43998222867283121</v>
      </c>
      <c r="P25" s="30">
        <f t="shared" si="2"/>
        <v>0.24999959799999999</v>
      </c>
      <c r="Q25" s="30">
        <f>B25+SQRT(('Начальные условия и парам.'!$B$15+'Начальные условия и парам.'!$H$15)^2+('Начальные условия и парам.'!$K$15/2)^2)*COS(RADIANS(J25-'Начальные условия и парам.'!$E$19))</f>
        <v>9.5500929051223284</v>
      </c>
      <c r="R25" s="30">
        <f>C25+SQRT(('Начальные условия и парам.'!$B$15+'Начальные условия и парам.'!$H$15)^2+('Начальные условия и парам.'!$K$15/2)^2)*SIN(RADIANS(J25-'Начальные условия и парам.'!$E$19))</f>
        <v>-1.439403012898985</v>
      </c>
      <c r="T25" s="30">
        <f t="shared" si="3"/>
        <v>0.24999959799999999</v>
      </c>
      <c r="U25" s="30">
        <f>B25+SQRT(('Начальные условия и парам.'!$E$15)^2+('Начальные условия и парам.'!$K$15/2)^2)*COS(RADIANS(J25+PI()+'Начальные условия и парам.'!$H$19))</f>
        <v>7.4150379453423039</v>
      </c>
      <c r="V25" s="30">
        <f>C25+SQRT(('Начальные условия и парам.'!$E$15)^2+('Начальные условия и парам.'!$K$15/2)^2)*SIN(RADIANS(J25+PI()+'Начальные условия и парам.'!$H$19))</f>
        <v>1.6394122131296169</v>
      </c>
      <c r="X25" s="30">
        <f t="shared" si="4"/>
        <v>0.24999959799999999</v>
      </c>
      <c r="Y25" s="30">
        <f>B25+SQRT(('Начальные условия и парам.'!$E$15)^2+('Начальные условия и парам.'!$K$15/2)^2)*COS(RADIANS(J25+PI()-'Начальные условия и парам.'!$H$19))</f>
        <v>6.8350228681935619</v>
      </c>
      <c r="Z25" s="30">
        <f>C25+SQRT(('Начальные условия и парам.'!$E$15)^2+('Начальные условия и парам.'!$K$15/2)^2)*SIN(RADIANS(J25+PI()-'Начальные условия и парам.'!$H$19))</f>
        <v>-0.27463650889397329</v>
      </c>
    </row>
    <row r="26" spans="1:31" x14ac:dyDescent="0.25">
      <c r="A26" s="30">
        <f>'аксел-ры 1 и 2 и интегр-ие  '!M29</f>
        <v>0.259999961</v>
      </c>
      <c r="B26" s="30">
        <f>'аксел-ры 1 и 2 и интегр-ие  '!P29</f>
        <v>4.4156562630092848</v>
      </c>
      <c r="C26" s="30">
        <f>'аксел-ры 1 и 2 и интегр-ие  '!Y29</f>
        <v>1.507714619792228</v>
      </c>
      <c r="D26" s="12"/>
      <c r="E26" s="30">
        <f>'аксел-ры 1 и 2 и интегр-ие  '!Q29</f>
        <v>0.259999961</v>
      </c>
      <c r="F26" s="30">
        <f>'аксел-ры 1 и 2 и интегр-ие  '!T29</f>
        <v>6.2950415045811017</v>
      </c>
      <c r="G26" s="30">
        <f>'аксел-ры 1 и 2 и интегр-ие  '!AC29</f>
        <v>0.82367433314089067</v>
      </c>
      <c r="H26" s="12"/>
      <c r="I26" s="30">
        <f t="shared" si="0"/>
        <v>0.259999961</v>
      </c>
      <c r="J26" s="30">
        <f>DEGREES(ASIN((G26-C26)/'Начальные условия и парам.'!$B$15))</f>
        <v>-19.999999999999996</v>
      </c>
      <c r="L26" s="30">
        <f t="shared" si="1"/>
        <v>0.259999961</v>
      </c>
      <c r="M26" s="30">
        <f>B26+SQRT(('Начальные условия и парам.'!$B$15+'Начальные условия и парам.'!$H$15)^2+('Начальные условия и парам.'!$K$15/2)^2)*COS(RADIANS(J26+'Начальные условия и парам.'!$E$19))</f>
        <v>10.395832131050405</v>
      </c>
      <c r="N26" s="30">
        <f>C26+SQRT(('Начальные условия и парам.'!$B$15+'Начальные условия и парам.'!$H$15)^2+('Начальные условия и парам.'!$K$15/2)^2)*SIN(RADIANS(J26+'Начальные условия и парам.'!$E$19))</f>
        <v>0.39528638062412425</v>
      </c>
      <c r="P26" s="30">
        <f t="shared" si="2"/>
        <v>0.259999961</v>
      </c>
      <c r="Q26" s="30">
        <f>B26+SQRT(('Начальные условия и парам.'!$B$15+'Начальные условия и парам.'!$H$15)^2+('Начальные условия и парам.'!$K$15/2)^2)*COS(RADIANS(J26-'Начальные условия и парам.'!$E$19))</f>
        <v>9.7117918443990661</v>
      </c>
      <c r="R26" s="30">
        <f>C26+SQRT(('Начальные условия и парам.'!$B$15+'Начальные условия и парам.'!$H$15)^2+('Начальные условия и парам.'!$K$15/2)^2)*SIN(RADIANS(J26-'Начальные условия и парам.'!$E$19))</f>
        <v>-1.4840988609476919</v>
      </c>
      <c r="T26" s="30">
        <f t="shared" si="3"/>
        <v>0.259999961</v>
      </c>
      <c r="U26" s="30">
        <f>B26+SQRT(('Начальные условия и парам.'!$E$15)^2+('Начальные условия и парам.'!$K$15/2)^2)*COS(RADIANS(J26+PI()+'Начальные условия и парам.'!$H$19))</f>
        <v>7.5767368846190415</v>
      </c>
      <c r="V26" s="30">
        <f>C26+SQRT(('Начальные условия и парам.'!$E$15)^2+('Начальные условия и парам.'!$K$15/2)^2)*SIN(RADIANS(J26+PI()+'Начальные условия и парам.'!$H$19))</f>
        <v>1.59471636508091</v>
      </c>
      <c r="X26" s="30">
        <f t="shared" si="4"/>
        <v>0.259999961</v>
      </c>
      <c r="Y26" s="30">
        <f>B26+SQRT(('Начальные условия и парам.'!$E$15)^2+('Начальные условия и парам.'!$K$15/2)^2)*COS(RADIANS(J26+PI()-'Начальные условия и парам.'!$H$19))</f>
        <v>6.9967218074702995</v>
      </c>
      <c r="Z26" s="30">
        <f>C26+SQRT(('Начальные условия и парам.'!$E$15)^2+('Начальные условия и парам.'!$K$15/2)^2)*SIN(RADIANS(J26+PI()-'Начальные условия и парам.'!$H$19))</f>
        <v>-0.31933235694268025</v>
      </c>
    </row>
    <row r="27" spans="1:31" x14ac:dyDescent="0.25">
      <c r="A27" s="30">
        <f>'аксел-ры 1 и 2 и интегр-ие  '!M30</f>
        <v>0.269999832</v>
      </c>
      <c r="B27" s="30">
        <f>'аксел-ры 1 и 2 и интегр-ие  '!P30</f>
        <v>4.5768424018962701</v>
      </c>
      <c r="C27" s="30">
        <f>'аксел-ры 1 и 2 и интегр-ие  '!Y30</f>
        <v>1.4640628934004671</v>
      </c>
      <c r="D27" s="12"/>
      <c r="E27" s="30">
        <f>'аксел-ры 1 и 2 и интегр-ие  '!Q30</f>
        <v>0.269999832</v>
      </c>
      <c r="F27" s="30">
        <f>'аксел-ры 1 и 2 и интегр-ие  '!T30</f>
        <v>6.456227643468087</v>
      </c>
      <c r="G27" s="30">
        <f>'аксел-ры 1 и 2 и интегр-ие  '!AC30</f>
        <v>0.78002260674912982</v>
      </c>
      <c r="H27" s="12"/>
      <c r="I27" s="30">
        <f t="shared" si="0"/>
        <v>0.269999832</v>
      </c>
      <c r="J27" s="30">
        <f>DEGREES(ASIN((G27-C27)/'Начальные условия и парам.'!$B$15))</f>
        <v>-19.999999999999996</v>
      </c>
      <c r="L27" s="30">
        <f t="shared" si="1"/>
        <v>0.269999832</v>
      </c>
      <c r="M27" s="30">
        <f>B27+SQRT(('Начальные условия и парам.'!$B$15+'Начальные условия и парам.'!$H$15)^2+('Начальные условия и парам.'!$K$15/2)^2)*COS(RADIANS(J27+'Начальные условия и парам.'!$E$19))</f>
        <v>10.557018269937389</v>
      </c>
      <c r="N27" s="30">
        <f>C27+SQRT(('Начальные условия и парам.'!$B$15+'Начальные условия и парам.'!$H$15)^2+('Начальные условия и парам.'!$K$15/2)^2)*SIN(RADIANS(J27+'Начальные условия и парам.'!$E$19))</f>
        <v>0.3516346542323634</v>
      </c>
      <c r="P27" s="30">
        <f t="shared" si="2"/>
        <v>0.269999832</v>
      </c>
      <c r="Q27" s="30">
        <f>B27+SQRT(('Начальные условия и парам.'!$B$15+'Начальные условия и парам.'!$H$15)^2+('Начальные условия и парам.'!$K$15/2)^2)*COS(RADIANS(J27-'Начальные условия и парам.'!$E$19))</f>
        <v>9.8729779832860523</v>
      </c>
      <c r="R27" s="30">
        <f>C27+SQRT(('Начальные условия и парам.'!$B$15+'Начальные условия и парам.'!$H$15)^2+('Начальные условия и парам.'!$K$15/2)^2)*SIN(RADIANS(J27-'Начальные условия и парам.'!$E$19))</f>
        <v>-1.5277505873394528</v>
      </c>
      <c r="T27" s="30">
        <f t="shared" si="3"/>
        <v>0.269999832</v>
      </c>
      <c r="U27" s="30">
        <f>B27+SQRT(('Начальные условия и парам.'!$E$15)^2+('Начальные условия и парам.'!$K$15/2)^2)*COS(RADIANS(J27+PI()+'Начальные условия и парам.'!$H$19))</f>
        <v>7.7379230235060259</v>
      </c>
      <c r="V27" s="30">
        <f>C27+SQRT(('Начальные условия и парам.'!$E$15)^2+('Начальные условия и парам.'!$K$15/2)^2)*SIN(RADIANS(J27+PI()+'Начальные условия и парам.'!$H$19))</f>
        <v>1.5510646386891491</v>
      </c>
      <c r="X27" s="30">
        <f t="shared" si="4"/>
        <v>0.269999832</v>
      </c>
      <c r="Y27" s="30">
        <f>B27+SQRT(('Начальные условия и парам.'!$E$15)^2+('Начальные условия и парам.'!$K$15/2)^2)*COS(RADIANS(J27+PI()-'Начальные условия и парам.'!$H$19))</f>
        <v>7.1579079463572848</v>
      </c>
      <c r="Z27" s="30">
        <f>C27+SQRT(('Начальные условия и парам.'!$E$15)^2+('Начальные условия и парам.'!$K$15/2)^2)*SIN(RADIANS(J27+PI()-'Начальные условия и парам.'!$H$19))</f>
        <v>-0.3629840833344411</v>
      </c>
    </row>
    <row r="28" spans="1:31" x14ac:dyDescent="0.25">
      <c r="A28" s="30">
        <f>'аксел-ры 1 и 2 и интегр-ие  '!M31</f>
        <v>0.27999970299999999</v>
      </c>
      <c r="B28" s="30">
        <f>'аксел-ры 1 и 2 и интегр-ие  '!P31</f>
        <v>4.7379918817568951</v>
      </c>
      <c r="C28" s="30">
        <f>'аксел-ры 1 и 2 и интегр-ие  '!Y31</f>
        <v>1.4210273878826813</v>
      </c>
      <c r="D28" s="12"/>
      <c r="E28" s="30">
        <f>'аксел-ры 1 и 2 и интегр-ие  '!Q31</f>
        <v>0.27999970299999999</v>
      </c>
      <c r="F28" s="30">
        <f>'аксел-ры 1 и 2 и интегр-ие  '!T31</f>
        <v>6.617377123328712</v>
      </c>
      <c r="G28" s="30">
        <f>'аксел-ры 1 и 2 и интегр-ие  '!AC31</f>
        <v>0.73698710123134403</v>
      </c>
      <c r="H28" s="12"/>
      <c r="I28" s="30">
        <f t="shared" si="0"/>
        <v>0.27999970299999999</v>
      </c>
      <c r="J28" s="30">
        <f>DEGREES(ASIN((G28-C28)/'Начальные условия и парам.'!$B$15))</f>
        <v>-19.999999999999996</v>
      </c>
      <c r="L28" s="30">
        <f t="shared" si="1"/>
        <v>0.27999970299999999</v>
      </c>
      <c r="M28" s="30">
        <f>B28+SQRT(('Начальные условия и парам.'!$B$15+'Начальные условия и парам.'!$H$15)^2+('Начальные условия и парам.'!$K$15/2)^2)*COS(RADIANS(J28+'Начальные условия и парам.'!$E$19))</f>
        <v>10.718167749798013</v>
      </c>
      <c r="N28" s="30">
        <f>C28+SQRT(('Начальные условия и парам.'!$B$15+'Начальные условия и парам.'!$H$15)^2+('Начальные условия и парам.'!$K$15/2)^2)*SIN(RADIANS(J28+'Начальные условия и парам.'!$E$19))</f>
        <v>0.30859914871457761</v>
      </c>
      <c r="P28" s="30">
        <f t="shared" si="2"/>
        <v>0.27999970299999999</v>
      </c>
      <c r="Q28" s="30">
        <f>B28+SQRT(('Начальные условия и парам.'!$B$15+'Начальные условия и парам.'!$H$15)^2+('Начальные условия и парам.'!$K$15/2)^2)*COS(RADIANS(J28-'Начальные условия и парам.'!$E$19))</f>
        <v>10.034127463146676</v>
      </c>
      <c r="R28" s="30">
        <f>C28+SQRT(('Начальные условия и парам.'!$B$15+'Начальные условия и парам.'!$H$15)^2+('Начальные условия и парам.'!$K$15/2)^2)*SIN(RADIANS(J28-'Начальные условия и парам.'!$E$19))</f>
        <v>-1.5707860928572386</v>
      </c>
      <c r="T28" s="30">
        <f t="shared" si="3"/>
        <v>0.27999970299999999</v>
      </c>
      <c r="U28" s="30">
        <f>B28+SQRT(('Начальные условия и парам.'!$E$15)^2+('Начальные условия и парам.'!$K$15/2)^2)*COS(RADIANS(J28+PI()+'Начальные условия и парам.'!$H$19))</f>
        <v>7.8990725033666518</v>
      </c>
      <c r="V28" s="30">
        <f>C28+SQRT(('Начальные условия и парам.'!$E$15)^2+('Начальные условия и парам.'!$K$15/2)^2)*SIN(RADIANS(J28+PI()+'Начальные условия и парам.'!$H$19))</f>
        <v>1.5080291331713633</v>
      </c>
      <c r="X28" s="30">
        <f t="shared" si="4"/>
        <v>0.27999970299999999</v>
      </c>
      <c r="Y28" s="30">
        <f>B28+SQRT(('Начальные условия и парам.'!$E$15)^2+('Начальные условия и парам.'!$K$15/2)^2)*COS(RADIANS(J28+PI()-'Начальные условия и парам.'!$H$19))</f>
        <v>7.3190574262179098</v>
      </c>
      <c r="Z28" s="30">
        <f>C28+SQRT(('Начальные условия и парам.'!$E$15)^2+('Начальные условия и парам.'!$K$15/2)^2)*SIN(RADIANS(J28+PI()-'Начальные условия и парам.'!$H$19))</f>
        <v>-0.40601958885222689</v>
      </c>
    </row>
    <row r="29" spans="1:31" x14ac:dyDescent="0.25">
      <c r="A29" s="30">
        <f>'аксел-ры 1 и 2 и интегр-ие  '!M32</f>
        <v>0.28999954500000003</v>
      </c>
      <c r="B29" s="30">
        <f>'аксел-ры 1 и 2 и интегр-ие  '!P32</f>
        <v>4.8993310344833523</v>
      </c>
      <c r="C29" s="30">
        <f>'аксел-ры 1 и 2 и интегр-ие  '!Y32</f>
        <v>1.3785118668142919</v>
      </c>
      <c r="D29" s="12"/>
      <c r="E29" s="30">
        <f>'аксел-ры 1 и 2 и интегр-ие  '!Q32</f>
        <v>0.28999954500000003</v>
      </c>
      <c r="F29" s="30">
        <f>'аксел-ры 1 и 2 и интегр-ие  '!T32</f>
        <v>6.7787162760551691</v>
      </c>
      <c r="G29" s="30">
        <f>'аксел-ры 1 и 2 и интегр-ие  '!AC32</f>
        <v>0.69447158016295463</v>
      </c>
      <c r="H29" s="12"/>
      <c r="I29" s="30">
        <f t="shared" si="0"/>
        <v>0.28999954500000003</v>
      </c>
      <c r="J29" s="30">
        <f>DEGREES(ASIN((G29-C29)/'Начальные условия и парам.'!$B$15))</f>
        <v>-19.999999999999996</v>
      </c>
      <c r="L29" s="30">
        <f t="shared" si="1"/>
        <v>0.28999954500000003</v>
      </c>
      <c r="M29" s="30">
        <f>B29+SQRT(('Начальные условия и парам.'!$B$15+'Начальные условия и парам.'!$H$15)^2+('Начальные условия и парам.'!$K$15/2)^2)*COS(RADIANS(J29+'Начальные условия и парам.'!$E$19))</f>
        <v>10.879506902524472</v>
      </c>
      <c r="N29" s="30">
        <f>C29+SQRT(('Начальные условия и парам.'!$B$15+'Начальные условия и парам.'!$H$15)^2+('Начальные условия и парам.'!$K$15/2)^2)*SIN(RADIANS(J29+'Начальные условия и парам.'!$E$19))</f>
        <v>0.2660836276461882</v>
      </c>
      <c r="P29" s="30">
        <f t="shared" si="2"/>
        <v>0.28999954500000003</v>
      </c>
      <c r="Q29" s="30">
        <f>B29+SQRT(('Начальные условия и парам.'!$B$15+'Начальные условия и парам.'!$H$15)^2+('Начальные условия и парам.'!$K$15/2)^2)*COS(RADIANS(J29-'Начальные условия и парам.'!$E$19))</f>
        <v>10.195466615873134</v>
      </c>
      <c r="R29" s="30">
        <f>C29+SQRT(('Начальные условия и парам.'!$B$15+'Начальные условия и парам.'!$H$15)^2+('Начальные условия и парам.'!$K$15/2)^2)*SIN(RADIANS(J29-'Начальные условия и парам.'!$E$19))</f>
        <v>-1.613301613925628</v>
      </c>
      <c r="T29" s="30">
        <f t="shared" si="3"/>
        <v>0.28999954500000003</v>
      </c>
      <c r="U29" s="30">
        <f>B29+SQRT(('Начальные условия и парам.'!$E$15)^2+('Начальные условия и парам.'!$K$15/2)^2)*COS(RADIANS(J29+PI()+'Начальные условия и парам.'!$H$19))</f>
        <v>8.0604116560931089</v>
      </c>
      <c r="V29" s="30">
        <f>C29+SQRT(('Начальные условия и парам.'!$E$15)^2+('Начальные условия и парам.'!$K$15/2)^2)*SIN(RADIANS(J29+PI()+'Начальные условия и парам.'!$H$19))</f>
        <v>1.4655136121029739</v>
      </c>
      <c r="X29" s="30">
        <f t="shared" si="4"/>
        <v>0.28999954500000003</v>
      </c>
      <c r="Y29" s="30">
        <f>B29+SQRT(('Начальные условия и парам.'!$E$15)^2+('Начальные условия и парам.'!$K$15/2)^2)*COS(RADIANS(J29+PI()-'Начальные условия и парам.'!$H$19))</f>
        <v>7.4803965789443669</v>
      </c>
      <c r="Z29" s="30">
        <f>C29+SQRT(('Начальные условия и парам.'!$E$15)^2+('Начальные условия и парам.'!$K$15/2)^2)*SIN(RADIANS(J29+PI()-'Начальные условия и парам.'!$H$19))</f>
        <v>-0.44853510992061629</v>
      </c>
    </row>
    <row r="30" spans="1:31" x14ac:dyDescent="0.25">
      <c r="A30" s="30">
        <f>'аксел-ры 1 и 2 и интегр-ие  '!M33</f>
        <v>0.299999923</v>
      </c>
      <c r="B30" s="30">
        <f>'аксел-ры 1 и 2 и интегр-ие  '!P33</f>
        <v>5.0608302278100261</v>
      </c>
      <c r="C30" s="30">
        <f>'аксел-ры 1 и 2 и интегр-ие  '!Y33</f>
        <v>1.3368379352233373</v>
      </c>
      <c r="D30" s="12"/>
      <c r="E30" s="30">
        <f>'аксел-ры 1 и 2 и интегр-ие  '!Q33</f>
        <v>0.299999923</v>
      </c>
      <c r="F30" s="30">
        <f>'аксел-ры 1 и 2 и интегр-ие  '!T33</f>
        <v>6.940215469381843</v>
      </c>
      <c r="G30" s="30">
        <f>'аксел-ры 1 и 2 и интегр-ие  '!AC33</f>
        <v>0.65279764857199996</v>
      </c>
      <c r="H30" s="12"/>
      <c r="I30" s="30">
        <f t="shared" si="0"/>
        <v>0.299999923</v>
      </c>
      <c r="J30" s="30">
        <f>DEGREES(ASIN((G30-C30)/'Начальные условия и парам.'!$B$15))</f>
        <v>-19.999999999999996</v>
      </c>
      <c r="L30" s="30">
        <f t="shared" si="1"/>
        <v>0.299999923</v>
      </c>
      <c r="M30" s="30">
        <f>B30+SQRT(('Начальные условия и парам.'!$B$15+'Начальные условия и парам.'!$H$15)^2+('Начальные условия и парам.'!$K$15/2)^2)*COS(RADIANS(J30+'Начальные условия и парам.'!$E$19))</f>
        <v>11.041006095851145</v>
      </c>
      <c r="N30" s="30">
        <f>C30+SQRT(('Начальные условия и парам.'!$B$15+'Начальные условия и парам.'!$H$15)^2+('Начальные условия и парам.'!$K$15/2)^2)*SIN(RADIANS(J30+'Начальные условия и парам.'!$E$19))</f>
        <v>0.22440969605523353</v>
      </c>
      <c r="P30" s="30">
        <f t="shared" si="2"/>
        <v>0.299999923</v>
      </c>
      <c r="Q30" s="30">
        <f>B30+SQRT(('Начальные условия и парам.'!$B$15+'Начальные условия и парам.'!$H$15)^2+('Начальные условия и парам.'!$K$15/2)^2)*COS(RADIANS(J30-'Начальные условия и парам.'!$E$19))</f>
        <v>10.356965809199806</v>
      </c>
      <c r="R30" s="30">
        <f>C30+SQRT(('Начальные условия и парам.'!$B$15+'Начальные условия и парам.'!$H$15)^2+('Начальные условия и парам.'!$K$15/2)^2)*SIN(RADIANS(J30-'Начальные условия и парам.'!$E$19))</f>
        <v>-1.6549755455165827</v>
      </c>
      <c r="T30" s="30">
        <f t="shared" si="3"/>
        <v>0.299999923</v>
      </c>
      <c r="U30" s="30">
        <f>B30+SQRT(('Начальные условия и парам.'!$E$15)^2+('Начальные условия и парам.'!$K$15/2)^2)*COS(RADIANS(J30+PI()+'Начальные условия и парам.'!$H$19))</f>
        <v>8.2219108494197819</v>
      </c>
      <c r="V30" s="30">
        <f>C30+SQRT(('Начальные условия и парам.'!$E$15)^2+('Начальные условия и парам.'!$K$15/2)^2)*SIN(RADIANS(J30+PI()+'Начальные условия и парам.'!$H$19))</f>
        <v>1.4238396805120193</v>
      </c>
      <c r="X30" s="30">
        <f t="shared" si="4"/>
        <v>0.299999923</v>
      </c>
      <c r="Y30" s="30">
        <f>B30+SQRT(('Начальные условия и парам.'!$E$15)^2+('Начальные условия и парам.'!$K$15/2)^2)*COS(RADIANS(J30+PI()-'Начальные условия и парам.'!$H$19))</f>
        <v>7.6418957722710408</v>
      </c>
      <c r="Z30" s="30">
        <f>C30+SQRT(('Начальные условия и парам.'!$E$15)^2+('Начальные условия и парам.'!$K$15/2)^2)*SIN(RADIANS(J30+PI()-'Начальные условия и парам.'!$H$19))</f>
        <v>-0.49020904151157096</v>
      </c>
    </row>
    <row r="31" spans="1:31" x14ac:dyDescent="0.25">
      <c r="A31" s="30">
        <f>'аксел-ры 1 и 2 и интегр-ие  '!M34</f>
        <v>0.309999794</v>
      </c>
      <c r="B31" s="30">
        <f>'аксел-ры 1 и 2 и интегр-ие  '!P34</f>
        <v>5.2220110460774212</v>
      </c>
      <c r="C31" s="30">
        <f>'аксел-ры 1 и 2 и интегр-ие  '!Y34</f>
        <v>1.2964498758970264</v>
      </c>
      <c r="D31" s="12"/>
      <c r="E31" s="30">
        <f>'аксел-ры 1 и 2 и интегр-ие  '!Q34</f>
        <v>0.309999794</v>
      </c>
      <c r="F31" s="30">
        <f>'аксел-ры 1 и 2 и интегр-ие  '!T34</f>
        <v>7.101396287649238</v>
      </c>
      <c r="G31" s="30">
        <f>'аксел-ры 1 и 2 и интегр-ие  '!AC34</f>
        <v>0.61240958924568911</v>
      </c>
      <c r="H31" s="12"/>
      <c r="I31" s="30">
        <f t="shared" si="0"/>
        <v>0.309999794</v>
      </c>
      <c r="J31" s="30">
        <f>DEGREES(ASIN((G31-C31)/'Начальные условия и парам.'!$B$15))</f>
        <v>-19.999999999999996</v>
      </c>
      <c r="L31" s="30">
        <f t="shared" si="1"/>
        <v>0.309999794</v>
      </c>
      <c r="M31" s="30">
        <f>B31+SQRT(('Начальные условия и парам.'!$B$15+'Начальные условия и парам.'!$H$15)^2+('Начальные условия и парам.'!$K$15/2)^2)*COS(RADIANS(J31+'Начальные условия и парам.'!$E$19))</f>
        <v>11.20218691411854</v>
      </c>
      <c r="N31" s="30">
        <f>C31+SQRT(('Начальные условия и парам.'!$B$15+'Начальные условия и парам.'!$H$15)^2+('Начальные условия и парам.'!$K$15/2)^2)*SIN(RADIANS(J31+'Начальные условия и парам.'!$E$19))</f>
        <v>0.18402163672892269</v>
      </c>
      <c r="P31" s="30">
        <f t="shared" si="2"/>
        <v>0.309999794</v>
      </c>
      <c r="Q31" s="30">
        <f>B31+SQRT(('Начальные условия и парам.'!$B$15+'Начальные условия и парам.'!$H$15)^2+('Начальные условия и парам.'!$K$15/2)^2)*COS(RADIANS(J31-'Начальные условия и парам.'!$E$19))</f>
        <v>10.518146627467203</v>
      </c>
      <c r="R31" s="30">
        <f>C31+SQRT(('Начальные условия и парам.'!$B$15+'Начальные условия и парам.'!$H$15)^2+('Начальные условия и парам.'!$K$15/2)^2)*SIN(RADIANS(J31-'Начальные условия и парам.'!$E$19))</f>
        <v>-1.6953636048428935</v>
      </c>
      <c r="T31" s="30">
        <f t="shared" si="3"/>
        <v>0.309999794</v>
      </c>
      <c r="U31" s="30">
        <f>B31+SQRT(('Начальные условия и парам.'!$E$15)^2+('Начальные условия и парам.'!$K$15/2)^2)*COS(RADIANS(J31+PI()+'Начальные условия и парам.'!$H$19))</f>
        <v>8.383091667687177</v>
      </c>
      <c r="V31" s="30">
        <f>C31+SQRT(('Начальные условия и парам.'!$E$15)^2+('Начальные условия и парам.'!$K$15/2)^2)*SIN(RADIANS(J31+PI()+'Начальные условия и парам.'!$H$19))</f>
        <v>1.3834516211857084</v>
      </c>
      <c r="X31" s="30">
        <f t="shared" si="4"/>
        <v>0.309999794</v>
      </c>
      <c r="Y31" s="30">
        <f>B31+SQRT(('Начальные условия и парам.'!$E$15)^2+('Начальные условия и парам.'!$K$15/2)^2)*COS(RADIANS(J31+PI()-'Начальные условия и парам.'!$H$19))</f>
        <v>7.8030765905384358</v>
      </c>
      <c r="Z31" s="30">
        <f>C31+SQRT(('Начальные условия и парам.'!$E$15)^2+('Начальные условия и парам.'!$K$15/2)^2)*SIN(RADIANS(J31+PI()-'Начальные условия и парам.'!$H$19))</f>
        <v>-0.53059710083788181</v>
      </c>
    </row>
    <row r="32" spans="1:31" x14ac:dyDescent="0.25">
      <c r="A32" s="30">
        <f>'аксел-ры 1 и 2 и интегр-ие  '!M35</f>
        <v>0.31999966499999999</v>
      </c>
      <c r="B32" s="30">
        <f>'аксел-ры 1 и 2 и интегр-ие  '!P35</f>
        <v>5.3822053454484919</v>
      </c>
      <c r="C32" s="30">
        <f>'аксел-ры 1 и 2 и интегр-ие  '!Y35</f>
        <v>1.2575858959164656</v>
      </c>
      <c r="D32" s="12"/>
      <c r="E32" s="30">
        <f>'аксел-ры 1 и 2 и интегр-ие  '!Q35</f>
        <v>0.31999966499999999</v>
      </c>
      <c r="F32" s="30">
        <f>'аксел-ры 1 и 2 и интегр-ие  '!T35</f>
        <v>7.2615905870203088</v>
      </c>
      <c r="G32" s="30">
        <f>'аксел-ры 1 и 2 и интегр-ие  '!AC35</f>
        <v>0.57354560926512832</v>
      </c>
      <c r="H32" s="12"/>
      <c r="I32" s="30">
        <f t="shared" si="0"/>
        <v>0.31999966499999999</v>
      </c>
      <c r="J32" s="30">
        <f>DEGREES(ASIN((G32-C32)/'Начальные условия и парам.'!$B$15))</f>
        <v>-19.999999999999996</v>
      </c>
      <c r="L32" s="30">
        <f t="shared" si="1"/>
        <v>0.31999966499999999</v>
      </c>
      <c r="M32" s="30">
        <f>B32+SQRT(('Начальные условия и парам.'!$B$15+'Начальные условия и парам.'!$H$15)^2+('Начальные условия и парам.'!$K$15/2)^2)*COS(RADIANS(J32+'Начальные условия и парам.'!$E$19))</f>
        <v>11.362381213489611</v>
      </c>
      <c r="N32" s="30">
        <f>C32+SQRT(('Начальные условия и парам.'!$B$15+'Начальные условия и парам.'!$H$15)^2+('Начальные условия и парам.'!$K$15/2)^2)*SIN(RADIANS(J32+'Начальные условия и парам.'!$E$19))</f>
        <v>0.1451576567483619</v>
      </c>
      <c r="P32" s="30">
        <f t="shared" si="2"/>
        <v>0.31999966499999999</v>
      </c>
      <c r="Q32" s="30">
        <f>B32+SQRT(('Начальные условия и парам.'!$B$15+'Начальные условия и парам.'!$H$15)^2+('Начальные условия и парам.'!$K$15/2)^2)*COS(RADIANS(J32-'Начальные условия и парам.'!$E$19))</f>
        <v>10.678340926838274</v>
      </c>
      <c r="R32" s="30">
        <f>C32+SQRT(('Начальные условия и парам.'!$B$15+'Начальные условия и парам.'!$H$15)^2+('Начальные условия и парам.'!$K$15/2)^2)*SIN(RADIANS(J32-'Начальные условия и парам.'!$E$19))</f>
        <v>-1.7342275848234543</v>
      </c>
      <c r="T32" s="30">
        <f t="shared" si="3"/>
        <v>0.31999966499999999</v>
      </c>
      <c r="U32" s="30">
        <f>B32+SQRT(('Начальные условия и парам.'!$E$15)^2+('Начальные условия и парам.'!$K$15/2)^2)*COS(RADIANS(J32+PI()+'Начальные условия и парам.'!$H$19))</f>
        <v>8.5432859670582477</v>
      </c>
      <c r="V32" s="30">
        <f>C32+SQRT(('Начальные условия и парам.'!$E$15)^2+('Начальные условия и парам.'!$K$15/2)^2)*SIN(RADIANS(J32+PI()+'Начальные условия и парам.'!$H$19))</f>
        <v>1.3445876412051476</v>
      </c>
      <c r="X32" s="30">
        <f t="shared" si="4"/>
        <v>0.31999966499999999</v>
      </c>
      <c r="Y32" s="30">
        <f>B32+SQRT(('Начальные условия и парам.'!$E$15)^2+('Начальные условия и парам.'!$K$15/2)^2)*COS(RADIANS(J32+PI()-'Начальные условия и парам.'!$H$19))</f>
        <v>7.9632708899095066</v>
      </c>
      <c r="Z32" s="30">
        <f>C32+SQRT(('Начальные условия и парам.'!$E$15)^2+('Начальные условия и парам.'!$K$15/2)^2)*SIN(RADIANS(J32+PI()-'Начальные условия и парам.'!$H$19))</f>
        <v>-0.5694610808184426</v>
      </c>
    </row>
    <row r="33" spans="1:26" x14ac:dyDescent="0.25">
      <c r="A33" s="30">
        <f>'аксел-ры 1 и 2 и интегр-ие  '!M36</f>
        <v>0.329999506</v>
      </c>
      <c r="B33" s="30">
        <f>'аксел-ры 1 и 2 и интегр-ие  '!P36</f>
        <v>5.5410908664470986</v>
      </c>
      <c r="C33" s="30">
        <f>'аксел-ры 1 и 2 и интегр-ие  '!Y36</f>
        <v>1.2203358812136513</v>
      </c>
      <c r="D33" s="12"/>
      <c r="E33" s="30">
        <f>'аксел-ры 1 и 2 и интегр-ие  '!Q36</f>
        <v>0.329999506</v>
      </c>
      <c r="F33" s="30">
        <f>'аксел-ры 1 и 2 и интегр-ие  '!T36</f>
        <v>7.4204761080189154</v>
      </c>
      <c r="G33" s="30">
        <f>'аксел-ры 1 и 2 и интегр-ие  '!AC36</f>
        <v>0.53629559456231402</v>
      </c>
      <c r="H33" s="12"/>
      <c r="I33" s="30">
        <f t="shared" si="0"/>
        <v>0.329999506</v>
      </c>
      <c r="J33" s="30">
        <f>DEGREES(ASIN((G33-C33)/'Начальные условия и парам.'!$B$15))</f>
        <v>-19.999999999999996</v>
      </c>
      <c r="L33" s="30">
        <f t="shared" si="1"/>
        <v>0.329999506</v>
      </c>
      <c r="M33" s="30">
        <f>B33+SQRT(('Начальные условия и парам.'!$B$15+'Начальные условия и парам.'!$H$15)^2+('Начальные условия и парам.'!$K$15/2)^2)*COS(RADIANS(J33+'Начальные условия и парам.'!$E$19))</f>
        <v>11.521266734488218</v>
      </c>
      <c r="N33" s="30">
        <f>C33+SQRT(('Начальные условия и парам.'!$B$15+'Начальные условия и парам.'!$H$15)^2+('Начальные условия и парам.'!$K$15/2)^2)*SIN(RADIANS(J33+'Начальные условия и парам.'!$E$19))</f>
        <v>0.10790764204554759</v>
      </c>
      <c r="P33" s="30">
        <f t="shared" si="2"/>
        <v>0.329999506</v>
      </c>
      <c r="Q33" s="30">
        <f>B33+SQRT(('Начальные условия и парам.'!$B$15+'Начальные условия и парам.'!$H$15)^2+('Начальные условия и парам.'!$K$15/2)^2)*COS(RADIANS(J33-'Начальные условия и парам.'!$E$19))</f>
        <v>10.83722644783688</v>
      </c>
      <c r="R33" s="30">
        <f>C33+SQRT(('Начальные условия и парам.'!$B$15+'Начальные условия и парам.'!$H$15)^2+('Начальные условия и парам.'!$K$15/2)^2)*SIN(RADIANS(J33-'Начальные условия и парам.'!$E$19))</f>
        <v>-1.7714775995262686</v>
      </c>
      <c r="T33" s="30">
        <f t="shared" si="3"/>
        <v>0.329999506</v>
      </c>
      <c r="U33" s="30">
        <f>B33+SQRT(('Начальные условия и парам.'!$E$15)^2+('Начальные условия и парам.'!$K$15/2)^2)*COS(RADIANS(J33+PI()+'Начальные условия и парам.'!$H$19))</f>
        <v>8.7021714880568553</v>
      </c>
      <c r="V33" s="30">
        <f>C33+SQRT(('Начальные условия и парам.'!$E$15)^2+('Начальные условия и парам.'!$K$15/2)^2)*SIN(RADIANS(J33+PI()+'Начальные условия и парам.'!$H$19))</f>
        <v>1.3073376265023333</v>
      </c>
      <c r="X33" s="30">
        <f t="shared" si="4"/>
        <v>0.329999506</v>
      </c>
      <c r="Y33" s="30">
        <f>B33+SQRT(('Начальные условия и парам.'!$E$15)^2+('Начальные условия и парам.'!$K$15/2)^2)*COS(RADIANS(J33+PI()-'Начальные условия и парам.'!$H$19))</f>
        <v>8.1221564109081132</v>
      </c>
      <c r="Z33" s="30">
        <f>C33+SQRT(('Начальные условия и парам.'!$E$15)^2+('Начальные условия и парам.'!$K$15/2)^2)*SIN(RADIANS(J33+PI()-'Начальные условия и парам.'!$H$19))</f>
        <v>-0.6067110955212569</v>
      </c>
    </row>
    <row r="34" spans="1:26" x14ac:dyDescent="0.25">
      <c r="A34" s="30">
        <f>'аксел-ры 1 и 2 и интегр-ие  '!M37</f>
        <v>0.33999988399999997</v>
      </c>
      <c r="B34" s="30">
        <f>'аксел-ры 1 и 2 и интегр-ие  '!P37</f>
        <v>5.6990005008204223</v>
      </c>
      <c r="C34" s="30">
        <f>'аксел-ры 1 и 2 и интегр-ие  '!Y37</f>
        <v>1.1847054944230213</v>
      </c>
      <c r="D34" s="12"/>
      <c r="E34" s="30">
        <f>'аксел-ры 1 и 2 и интегр-ие  '!Q37</f>
        <v>0.33999988399999997</v>
      </c>
      <c r="F34" s="30">
        <f>'аксел-ры 1 и 2 и интегр-ие  '!T37</f>
        <v>7.5783857423922392</v>
      </c>
      <c r="G34" s="30">
        <f>'аксел-ры 1 и 2 и интегр-ие  '!AC37</f>
        <v>0.500665207771684</v>
      </c>
      <c r="H34" s="12"/>
      <c r="I34" s="30">
        <f t="shared" si="0"/>
        <v>0.33999988399999997</v>
      </c>
      <c r="J34" s="30">
        <f>DEGREES(ASIN((G34-C34)/'Начальные условия и парам.'!$B$15))</f>
        <v>-19.999999999999996</v>
      </c>
      <c r="L34" s="30">
        <f t="shared" si="1"/>
        <v>0.33999988399999997</v>
      </c>
      <c r="M34" s="30">
        <f>B34+SQRT(('Начальные условия и парам.'!$B$15+'Начальные условия и парам.'!$H$15)^2+('Начальные условия и парам.'!$K$15/2)^2)*COS(RADIANS(J34+'Начальные условия и парам.'!$E$19))</f>
        <v>11.67917636886154</v>
      </c>
      <c r="N34" s="30">
        <f>C34+SQRT(('Начальные условия и парам.'!$B$15+'Начальные условия и парам.'!$H$15)^2+('Начальные условия и парам.'!$K$15/2)^2)*SIN(RADIANS(J34+'Начальные условия и парам.'!$E$19))</f>
        <v>7.2277255254917572E-2</v>
      </c>
      <c r="P34" s="30">
        <f t="shared" si="2"/>
        <v>0.33999988399999997</v>
      </c>
      <c r="Q34" s="30">
        <f>B34+SQRT(('Начальные условия и парам.'!$B$15+'Начальные условия и парам.'!$H$15)^2+('Начальные условия и парам.'!$K$15/2)^2)*COS(RADIANS(J34-'Начальные условия и парам.'!$E$19))</f>
        <v>10.995136082210204</v>
      </c>
      <c r="R34" s="30">
        <f>C34+SQRT(('Начальные условия и парам.'!$B$15+'Начальные условия и парам.'!$H$15)^2+('Начальные условия и парам.'!$K$15/2)^2)*SIN(RADIANS(J34-'Начальные условия и парам.'!$E$19))</f>
        <v>-1.8071079863168986</v>
      </c>
      <c r="T34" s="30">
        <f t="shared" si="3"/>
        <v>0.33999988399999997</v>
      </c>
      <c r="U34" s="30">
        <f>B34+SQRT(('Начальные условия и парам.'!$E$15)^2+('Начальные условия и парам.'!$K$15/2)^2)*COS(RADIANS(J34+PI()+'Начальные условия и парам.'!$H$19))</f>
        <v>8.860081122430179</v>
      </c>
      <c r="V34" s="30">
        <f>C34+SQRT(('Начальные условия и парам.'!$E$15)^2+('Начальные условия и парам.'!$K$15/2)^2)*SIN(RADIANS(J34+PI()+'Начальные условия и парам.'!$H$19))</f>
        <v>1.2717072397117033</v>
      </c>
      <c r="X34" s="30">
        <f t="shared" si="4"/>
        <v>0.33999988399999997</v>
      </c>
      <c r="Y34" s="30">
        <f>B34+SQRT(('Начальные условия и парам.'!$E$15)^2+('Начальные условия и парам.'!$K$15/2)^2)*COS(RADIANS(J34+PI()-'Начальные условия и парам.'!$H$19))</f>
        <v>8.280066045281437</v>
      </c>
      <c r="Z34" s="30">
        <f>C34+SQRT(('Начальные условия и парам.'!$E$15)^2+('Начальные условия и парам.'!$K$15/2)^2)*SIN(RADIANS(J34+PI()-'Начальные условия и парам.'!$H$19))</f>
        <v>-0.64234148231188692</v>
      </c>
    </row>
    <row r="35" spans="1:26" x14ac:dyDescent="0.25">
      <c r="A35" s="30">
        <f>'аксел-ры 1 и 2 и интегр-ие  '!M38</f>
        <v>0.349999756</v>
      </c>
      <c r="B35" s="30">
        <f>'аксел-ры 1 и 2 и интегр-ие  '!P38</f>
        <v>5.8566076094286172</v>
      </c>
      <c r="C35" s="30">
        <f>'аксел-ры 1 и 2 и интегр-ие  '!Y38</f>
        <v>1.1504621919157856</v>
      </c>
      <c r="D35" s="12"/>
      <c r="E35" s="30">
        <f>'аксел-ры 1 и 2 и интегр-ие  '!Q38</f>
        <v>0.349999756</v>
      </c>
      <c r="F35" s="30">
        <f>'аксел-ры 1 и 2 и интегр-ие  '!T38</f>
        <v>7.7359928510004341</v>
      </c>
      <c r="G35" s="30">
        <f>'аксел-ры 1 и 2 и интегр-ие  '!AC38</f>
        <v>0.46642190526444827</v>
      </c>
      <c r="H35" s="12"/>
      <c r="I35" s="30">
        <f t="shared" si="0"/>
        <v>0.349999756</v>
      </c>
      <c r="J35" s="30">
        <f>DEGREES(ASIN((G35-C35)/'Начальные условия и парам.'!$B$15))</f>
        <v>-19.999999999999996</v>
      </c>
      <c r="L35" s="30">
        <f t="shared" si="1"/>
        <v>0.349999756</v>
      </c>
      <c r="M35" s="30">
        <f>B35+SQRT(('Начальные условия и парам.'!$B$15+'Начальные условия и парам.'!$H$15)^2+('Начальные условия и парам.'!$K$15/2)^2)*COS(RADIANS(J35+'Начальные условия и парам.'!$E$19))</f>
        <v>11.836783477469737</v>
      </c>
      <c r="N35" s="30">
        <f>C35+SQRT(('Начальные условия и парам.'!$B$15+'Начальные условия и парам.'!$H$15)^2+('Начальные условия и парам.'!$K$15/2)^2)*SIN(RADIANS(J35+'Начальные условия и парам.'!$E$19))</f>
        <v>3.8033952747681843E-2</v>
      </c>
      <c r="P35" s="30">
        <f t="shared" si="2"/>
        <v>0.349999756</v>
      </c>
      <c r="Q35" s="30">
        <f>B35+SQRT(('Начальные условия и парам.'!$B$15+'Начальные условия и парам.'!$H$15)^2+('Начальные условия и парам.'!$K$15/2)^2)*COS(RADIANS(J35-'Начальные условия и парам.'!$E$19))</f>
        <v>11.152743190818398</v>
      </c>
      <c r="R35" s="30">
        <f>C35+SQRT(('Начальные условия и парам.'!$B$15+'Начальные условия и парам.'!$H$15)^2+('Начальные условия и парам.'!$K$15/2)^2)*SIN(RADIANS(J35-'Начальные условия и парам.'!$E$19))</f>
        <v>-1.8413512888241343</v>
      </c>
      <c r="T35" s="30">
        <f t="shared" si="3"/>
        <v>0.349999756</v>
      </c>
      <c r="U35" s="30">
        <f>B35+SQRT(('Начальные условия и парам.'!$E$15)^2+('Начальные условия и парам.'!$K$15/2)^2)*COS(RADIANS(J35+PI()+'Начальные условия и парам.'!$H$19))</f>
        <v>9.0176882310383739</v>
      </c>
      <c r="V35" s="30">
        <f>C35+SQRT(('Начальные условия и парам.'!$E$15)^2+('Начальные условия и парам.'!$K$15/2)^2)*SIN(RADIANS(J35+PI()+'Начальные условия и парам.'!$H$19))</f>
        <v>1.2374639372044676</v>
      </c>
      <c r="X35" s="30">
        <f t="shared" si="4"/>
        <v>0.349999756</v>
      </c>
      <c r="Y35" s="30">
        <f>B35+SQRT(('Начальные условия и парам.'!$E$15)^2+('Начальные условия и парам.'!$K$15/2)^2)*COS(RADIANS(J35+PI()-'Начальные условия и парам.'!$H$19))</f>
        <v>8.4376731538896319</v>
      </c>
      <c r="Z35" s="30">
        <f>C35+SQRT(('Начальные условия и парам.'!$E$15)^2+('Начальные условия и парам.'!$K$15/2)^2)*SIN(RADIANS(J35+PI()-'Начальные условия и парам.'!$H$19))</f>
        <v>-0.67658478481912265</v>
      </c>
    </row>
    <row r="36" spans="1:26" x14ac:dyDescent="0.25">
      <c r="A36" s="30">
        <f>'аксел-ры 1 и 2 и интегр-ие  '!M39</f>
        <v>0.359999597</v>
      </c>
      <c r="B36" s="30">
        <f>'аксел-ры 1 и 2 и интегр-ие  '!P39</f>
        <v>6.0144495874464496</v>
      </c>
      <c r="C36" s="30">
        <f>'аксел-ры 1 и 2 и интегр-ие  '!Y39</f>
        <v>1.1171149005658711</v>
      </c>
      <c r="D36" s="12"/>
      <c r="E36" s="30">
        <f>'аксел-ры 1 и 2 и интегр-ие  '!Q39</f>
        <v>0.359999597</v>
      </c>
      <c r="F36" s="30">
        <f>'аксел-ры 1 и 2 и интегр-ие  '!T39</f>
        <v>7.8938348290182665</v>
      </c>
      <c r="G36" s="30">
        <f>'аксел-ры 1 и 2 и интегр-ие  '!AC39</f>
        <v>0.43307461391453383</v>
      </c>
      <c r="H36" s="12"/>
      <c r="I36" s="30">
        <f t="shared" si="0"/>
        <v>0.359999597</v>
      </c>
      <c r="J36" s="30">
        <f>DEGREES(ASIN((G36-C36)/'Начальные условия и парам.'!$B$15))</f>
        <v>-19.999999999999996</v>
      </c>
      <c r="L36" s="30">
        <f t="shared" si="1"/>
        <v>0.359999597</v>
      </c>
      <c r="M36" s="30">
        <f>B36+SQRT(('Начальные условия и парам.'!$B$15+'Начальные условия и парам.'!$H$15)^2+('Начальные условия и парам.'!$K$15/2)^2)*COS(RADIANS(J36+'Начальные условия и парам.'!$E$19))</f>
        <v>11.994625455487569</v>
      </c>
      <c r="N36" s="30">
        <f>C36+SQRT(('Начальные условия и парам.'!$B$15+'Начальные условия и парам.'!$H$15)^2+('Начальные условия и парам.'!$K$15/2)^2)*SIN(RADIANS(J36+'Начальные условия и парам.'!$E$19))</f>
        <v>4.686661397767411E-3</v>
      </c>
      <c r="P36" s="30">
        <f t="shared" si="2"/>
        <v>0.359999597</v>
      </c>
      <c r="Q36" s="30">
        <f>B36+SQRT(('Начальные условия и парам.'!$B$15+'Начальные условия и парам.'!$H$15)^2+('Начальные условия и парам.'!$K$15/2)^2)*COS(RADIANS(J36-'Начальные условия и парам.'!$E$19))</f>
        <v>11.31058516883623</v>
      </c>
      <c r="R36" s="30">
        <f>C36+SQRT(('Начальные условия и парам.'!$B$15+'Начальные условия и парам.'!$H$15)^2+('Начальные условия и парам.'!$K$15/2)^2)*SIN(RADIANS(J36-'Начальные условия и парам.'!$E$19))</f>
        <v>-1.8746985801740488</v>
      </c>
      <c r="T36" s="30">
        <f t="shared" si="3"/>
        <v>0.359999597</v>
      </c>
      <c r="U36" s="30">
        <f>B36+SQRT(('Начальные условия и парам.'!$E$15)^2+('Начальные условия и парам.'!$K$15/2)^2)*COS(RADIANS(J36+PI()+'Начальные условия и парам.'!$H$19))</f>
        <v>9.1755302090562054</v>
      </c>
      <c r="V36" s="30">
        <f>C36+SQRT(('Начальные условия и парам.'!$E$15)^2+('Начальные условия и парам.'!$K$15/2)^2)*SIN(RADIANS(J36+PI()+'Начальные условия и парам.'!$H$19))</f>
        <v>1.2041166458545531</v>
      </c>
      <c r="X36" s="30">
        <f t="shared" si="4"/>
        <v>0.359999597</v>
      </c>
      <c r="Y36" s="30">
        <f>B36+SQRT(('Начальные условия и парам.'!$E$15)^2+('Начальные условия и парам.'!$K$15/2)^2)*COS(RADIANS(J36+PI()-'Начальные условия и парам.'!$H$19))</f>
        <v>8.5955151319074652</v>
      </c>
      <c r="Z36" s="30">
        <f>C36+SQRT(('Начальные условия и парам.'!$E$15)^2+('Начальные условия и парам.'!$K$15/2)^2)*SIN(RADIANS(J36+PI()-'Начальные условия и парам.'!$H$19))</f>
        <v>-0.70993207616903709</v>
      </c>
    </row>
    <row r="37" spans="1:26" x14ac:dyDescent="0.25">
      <c r="A37" s="30">
        <f>'аксел-ры 1 и 2 и интегр-ие  '!M40</f>
        <v>0.369999468</v>
      </c>
      <c r="B37" s="30">
        <f>'аксел-ры 1 и 2 и интегр-ие  '!P40</f>
        <v>6.1725265015395943</v>
      </c>
      <c r="C37" s="30">
        <f>'аксел-ры 1 и 2 и интегр-ие  '!Y40</f>
        <v>1.0842605984060851</v>
      </c>
      <c r="D37" s="12"/>
      <c r="E37" s="30">
        <f>'аксел-ры 1 и 2 и интегр-ие  '!Q40</f>
        <v>0.369999468</v>
      </c>
      <c r="F37" s="30">
        <f>'аксел-ры 1 и 2 и интегр-ие  '!T40</f>
        <v>8.0519117431114111</v>
      </c>
      <c r="G37" s="30">
        <f>'аксел-ры 1 и 2 и интегр-ие  '!AC40</f>
        <v>0.40022031175474782</v>
      </c>
      <c r="H37" s="12"/>
      <c r="I37" s="30">
        <f t="shared" si="0"/>
        <v>0.369999468</v>
      </c>
      <c r="J37" s="30">
        <f>DEGREES(ASIN((G37-C37)/'Начальные условия и парам.'!$B$15))</f>
        <v>-19.999999999999996</v>
      </c>
      <c r="L37" s="30">
        <f t="shared" si="1"/>
        <v>0.369999468</v>
      </c>
      <c r="M37" s="30">
        <f>B37+SQRT(('Начальные условия и парам.'!$B$15+'Начальные условия и парам.'!$H$15)^2+('Начальные условия и парам.'!$K$15/2)^2)*COS(RADIANS(J37+'Начальные условия и парам.'!$E$19))</f>
        <v>12.152702369580712</v>
      </c>
      <c r="N37" s="30">
        <f>C37+SQRT(('Начальные условия и парам.'!$B$15+'Начальные условия и парам.'!$H$15)^2+('Начальные условия и парам.'!$K$15/2)^2)*SIN(RADIANS(J37+'Начальные условия и парам.'!$E$19))</f>
        <v>-2.8167640762018609E-2</v>
      </c>
      <c r="P37" s="30">
        <f t="shared" si="2"/>
        <v>0.369999468</v>
      </c>
      <c r="Q37" s="30">
        <f>B37+SQRT(('Начальные условия и парам.'!$B$15+'Начальные условия и парам.'!$H$15)^2+('Начальные условия и парам.'!$K$15/2)^2)*COS(RADIANS(J37-'Начальные условия и парам.'!$E$19))</f>
        <v>11.468662082929376</v>
      </c>
      <c r="R37" s="30">
        <f>C37+SQRT(('Начальные условия и парам.'!$B$15+'Начальные условия и парам.'!$H$15)^2+('Начальные условия и парам.'!$K$15/2)^2)*SIN(RADIANS(J37-'Начальные условия и парам.'!$E$19))</f>
        <v>-1.9075528823338348</v>
      </c>
      <c r="T37" s="30">
        <f t="shared" si="3"/>
        <v>0.369999468</v>
      </c>
      <c r="U37" s="30">
        <f>B37+SQRT(('Начальные условия и парам.'!$E$15)^2+('Начальные условия и парам.'!$K$15/2)^2)*COS(RADIANS(J37+PI()+'Начальные условия и парам.'!$H$19))</f>
        <v>9.3336071231493509</v>
      </c>
      <c r="V37" s="30">
        <f>C37+SQRT(('Начальные условия и парам.'!$E$15)^2+('Начальные условия и парам.'!$K$15/2)^2)*SIN(RADIANS(J37+PI()+'Начальные условия и парам.'!$H$19))</f>
        <v>1.1712623436947671</v>
      </c>
      <c r="X37" s="30">
        <f t="shared" si="4"/>
        <v>0.369999468</v>
      </c>
      <c r="Y37" s="30">
        <f>B37+SQRT(('Начальные условия и парам.'!$E$15)^2+('Начальные условия и парам.'!$K$15/2)^2)*COS(RADIANS(J37+PI()-'Начальные условия и парам.'!$H$19))</f>
        <v>8.7535920460006089</v>
      </c>
      <c r="Z37" s="30">
        <f>C37+SQRT(('Начальные условия и парам.'!$E$15)^2+('Начальные условия и парам.'!$K$15/2)^2)*SIN(RADIANS(J37+PI()-'Начальные условия и парам.'!$H$19))</f>
        <v>-0.7427863783288231</v>
      </c>
    </row>
    <row r="38" spans="1:26" x14ac:dyDescent="0.25">
      <c r="A38" s="30">
        <f>'аксел-ры 1 и 2 и интегр-ие  '!M41</f>
        <v>0.37999984599999997</v>
      </c>
      <c r="B38" s="30">
        <f>'аксел-ры 1 и 2 и интегр-ие  '!P41</f>
        <v>6.3303335802490697</v>
      </c>
      <c r="C38" s="30">
        <f>'аксел-ры 1 и 2 и интегр-ие  '!Y41</f>
        <v>1.0517736030832805</v>
      </c>
      <c r="D38" s="12"/>
      <c r="E38" s="30">
        <f>'аксел-ры 1 и 2 и интегр-ие  '!Q41</f>
        <v>0.37999984599999997</v>
      </c>
      <c r="F38" s="30">
        <f>'аксел-ры 1 и 2 и интегр-ие  '!T41</f>
        <v>8.2097188218208856</v>
      </c>
      <c r="G38" s="30">
        <f>'аксел-ры 1 и 2 и интегр-ие  '!AC41</f>
        <v>0.36773331643194318</v>
      </c>
      <c r="H38" s="12"/>
      <c r="I38" s="30">
        <f t="shared" si="0"/>
        <v>0.37999984599999997</v>
      </c>
      <c r="J38" s="30">
        <f>DEGREES(ASIN((G38-C38)/'Начальные условия и парам.'!$B$15))</f>
        <v>-19.999999999999996</v>
      </c>
      <c r="L38" s="30">
        <f t="shared" si="1"/>
        <v>0.37999984599999997</v>
      </c>
      <c r="M38" s="30">
        <f>B38+SQRT(('Начальные условия и парам.'!$B$15+'Начальные условия и парам.'!$H$15)^2+('Начальные условия и парам.'!$K$15/2)^2)*COS(RADIANS(J38+'Начальные условия и парам.'!$E$19))</f>
        <v>12.310509448290189</v>
      </c>
      <c r="N38" s="30">
        <f>C38+SQRT(('Начальные условия и парам.'!$B$15+'Начальные условия и парам.'!$H$15)^2+('Начальные условия и парам.'!$K$15/2)^2)*SIN(RADIANS(J38+'Начальные условия и парам.'!$E$19))</f>
        <v>-6.0654636084823244E-2</v>
      </c>
      <c r="P38" s="30">
        <f t="shared" si="2"/>
        <v>0.37999984599999997</v>
      </c>
      <c r="Q38" s="30">
        <f>B38+SQRT(('Начальные условия и парам.'!$B$15+'Начальные условия и парам.'!$H$15)^2+('Начальные условия и парам.'!$K$15/2)^2)*COS(RADIANS(J38-'Начальные условия и парам.'!$E$19))</f>
        <v>11.626469161638852</v>
      </c>
      <c r="R38" s="30">
        <f>C38+SQRT(('Начальные условия и парам.'!$B$15+'Начальные условия и парам.'!$H$15)^2+('Начальные условия и парам.'!$K$15/2)^2)*SIN(RADIANS(J38-'Начальные условия и парам.'!$E$19))</f>
        <v>-1.9400398776566394</v>
      </c>
      <c r="T38" s="30">
        <f t="shared" si="3"/>
        <v>0.37999984599999997</v>
      </c>
      <c r="U38" s="30">
        <f>B38+SQRT(('Начальные условия и парам.'!$E$15)^2+('Начальные условия и парам.'!$K$15/2)^2)*COS(RADIANS(J38+PI()+'Начальные условия и парам.'!$H$19))</f>
        <v>9.4914142018588255</v>
      </c>
      <c r="V38" s="30">
        <f>C38+SQRT(('Начальные условия и парам.'!$E$15)^2+('Начальные условия и парам.'!$K$15/2)^2)*SIN(RADIANS(J38+PI()+'Начальные условия и парам.'!$H$19))</f>
        <v>1.1387753483719625</v>
      </c>
      <c r="X38" s="30">
        <f t="shared" si="4"/>
        <v>0.37999984599999997</v>
      </c>
      <c r="Y38" s="30">
        <f>B38+SQRT(('Начальные условия и парам.'!$E$15)^2+('Начальные условия и парам.'!$K$15/2)^2)*COS(RADIANS(J38+PI()-'Начальные условия и парам.'!$H$19))</f>
        <v>8.9113991247100834</v>
      </c>
      <c r="Z38" s="30">
        <f>C38+SQRT(('Начальные условия и парам.'!$E$15)^2+('Начальные условия и парам.'!$K$15/2)^2)*SIN(RADIANS(J38+PI()-'Начальные условия и парам.'!$H$19))</f>
        <v>-0.77527337365162774</v>
      </c>
    </row>
    <row r="39" spans="1:26" x14ac:dyDescent="0.25">
      <c r="A39" s="30">
        <f>'аксел-ры 1 и 2 и интегр-ие  '!M42</f>
        <v>0.38999968800000001</v>
      </c>
      <c r="B39" s="30">
        <f>'аксел-ры 1 и 2 и интегр-ие  '!P42</f>
        <v>6.4871816447134005</v>
      </c>
      <c r="C39" s="30">
        <f>'аксел-ры 1 и 2 и интегр-ие  '!Y42</f>
        <v>1.0197092107757664</v>
      </c>
      <c r="D39" s="12"/>
      <c r="E39" s="30">
        <f>'аксел-ры 1 и 2 и интегр-ие  '!Q42</f>
        <v>0.38999968800000001</v>
      </c>
      <c r="F39" s="30">
        <f>'аксел-ры 1 и 2 и интегр-ие  '!T42</f>
        <v>8.3665668862852165</v>
      </c>
      <c r="G39" s="30">
        <f>'аксел-ры 1 и 2 и интегр-ие  '!AC42</f>
        <v>0.33566892412442906</v>
      </c>
      <c r="H39" s="12"/>
      <c r="I39" s="30">
        <f t="shared" si="0"/>
        <v>0.38999968800000001</v>
      </c>
      <c r="J39" s="30">
        <f>DEGREES(ASIN((G39-C39)/'Начальные условия и парам.'!$B$15))</f>
        <v>-19.999999999999996</v>
      </c>
      <c r="L39" s="30">
        <f t="shared" si="1"/>
        <v>0.38999968800000001</v>
      </c>
      <c r="M39" s="30">
        <f>B39+SQRT(('Начальные условия и парам.'!$B$15+'Начальные условия и парам.'!$H$15)^2+('Начальные условия и парам.'!$K$15/2)^2)*COS(RADIANS(J39+'Начальные условия и парам.'!$E$19))</f>
        <v>12.46735751275452</v>
      </c>
      <c r="N39" s="30">
        <f>C39+SQRT(('Начальные условия и парам.'!$B$15+'Начальные условия и парам.'!$H$15)^2+('Начальные условия и парам.'!$K$15/2)^2)*SIN(RADIANS(J39+'Начальные условия и парам.'!$E$19))</f>
        <v>-9.2719028392337366E-2</v>
      </c>
      <c r="P39" s="30">
        <f t="shared" si="2"/>
        <v>0.38999968800000001</v>
      </c>
      <c r="Q39" s="30">
        <f>B39+SQRT(('Начальные условия и парам.'!$B$15+'Начальные условия и парам.'!$H$15)^2+('Начальные условия и парам.'!$K$15/2)^2)*COS(RADIANS(J39-'Начальные условия и парам.'!$E$19))</f>
        <v>11.783317226103183</v>
      </c>
      <c r="R39" s="30">
        <f>C39+SQRT(('Начальные условия и парам.'!$B$15+'Начальные условия и парам.'!$H$15)^2+('Начальные условия и парам.'!$K$15/2)^2)*SIN(RADIANS(J39-'Начальные условия и парам.'!$E$19))</f>
        <v>-1.9721042699641536</v>
      </c>
      <c r="T39" s="30">
        <f t="shared" si="3"/>
        <v>0.38999968800000001</v>
      </c>
      <c r="U39" s="30">
        <f>B39+SQRT(('Начальные условия и парам.'!$E$15)^2+('Начальные условия и парам.'!$K$15/2)^2)*COS(RADIANS(J39+PI()+'Начальные условия и парам.'!$H$19))</f>
        <v>9.6482622663231563</v>
      </c>
      <c r="V39" s="30">
        <f>C39+SQRT(('Начальные условия и парам.'!$E$15)^2+('Начальные условия и парам.'!$K$15/2)^2)*SIN(RADIANS(J39+PI()+'Начальные условия и парам.'!$H$19))</f>
        <v>1.1067109560644484</v>
      </c>
      <c r="X39" s="30">
        <f t="shared" si="4"/>
        <v>0.38999968800000001</v>
      </c>
      <c r="Y39" s="30">
        <f>B39+SQRT(('Начальные условия и парам.'!$E$15)^2+('Начальные условия и парам.'!$K$15/2)^2)*COS(RADIANS(J39+PI()-'Начальные условия и парам.'!$H$19))</f>
        <v>9.0682471891744143</v>
      </c>
      <c r="Z39" s="30">
        <f>C39+SQRT(('Начальные условия и парам.'!$E$15)^2+('Начальные условия и парам.'!$K$15/2)^2)*SIN(RADIANS(J39+PI()-'Начальные условия и парам.'!$H$19))</f>
        <v>-0.80733776595914186</v>
      </c>
    </row>
    <row r="40" spans="1:26" x14ac:dyDescent="0.25">
      <c r="A40" s="30">
        <f>'аксел-ры 1 и 2 и интегр-ие  '!M43</f>
        <v>0.399999559</v>
      </c>
      <c r="B40" s="30">
        <f>'аксел-ры 1 и 2 и интегр-ие  '!P43</f>
        <v>6.6427133091972204</v>
      </c>
      <c r="C40" s="30">
        <f>'аксел-ры 1 и 2 и интегр-ие  '!Y43</f>
        <v>0.98822179428500556</v>
      </c>
      <c r="D40" s="12"/>
      <c r="E40" s="30">
        <f>'аксел-ры 1 и 2 и интегр-ие  '!Q43</f>
        <v>0.399999559</v>
      </c>
      <c r="F40" s="30">
        <f>'аксел-ры 1 и 2 и интегр-ие  '!T43</f>
        <v>8.5220985507690372</v>
      </c>
      <c r="G40" s="30">
        <f>'аксел-ры 1 и 2 и интегр-ие  '!AC43</f>
        <v>0.3041815076336678</v>
      </c>
      <c r="H40" s="12"/>
      <c r="I40" s="30">
        <f t="shared" si="0"/>
        <v>0.399999559</v>
      </c>
      <c r="J40" s="30">
        <f>DEGREES(ASIN((G40-C40)/'Начальные условия и парам.'!$B$15))</f>
        <v>-20.000000000000011</v>
      </c>
      <c r="L40" s="30">
        <f t="shared" si="1"/>
        <v>0.399999559</v>
      </c>
      <c r="M40" s="30">
        <f>B40+SQRT(('Начальные условия и парам.'!$B$15+'Начальные условия и парам.'!$H$15)^2+('Начальные условия и парам.'!$K$15/2)^2)*COS(RADIANS(J40+'Начальные условия и парам.'!$E$19))</f>
        <v>12.622889177238338</v>
      </c>
      <c r="N40" s="30">
        <f>C40+SQRT(('Начальные условия и парам.'!$B$15+'Начальные условия и парам.'!$H$15)^2+('Начальные условия и парам.'!$K$15/2)^2)*SIN(RADIANS(J40+'Начальные условия и парам.'!$E$19))</f>
        <v>-0.12420644488309951</v>
      </c>
      <c r="P40" s="30">
        <f t="shared" si="2"/>
        <v>0.399999559</v>
      </c>
      <c r="Q40" s="30">
        <f>B40+SQRT(('Начальные условия и парам.'!$B$15+'Начальные условия и парам.'!$H$15)^2+('Начальные условия и парам.'!$K$15/2)^2)*COS(RADIANS(J40-'Начальные условия и парам.'!$E$19))</f>
        <v>11.938848890587002</v>
      </c>
      <c r="R40" s="30">
        <f>C40+SQRT(('Начальные условия и парам.'!$B$15+'Начальные условия и парам.'!$H$15)^2+('Начальные условия и парам.'!$K$15/2)^2)*SIN(RADIANS(J40-'Начальные условия и парам.'!$E$19))</f>
        <v>-2.0035916864549157</v>
      </c>
      <c r="T40" s="30">
        <f t="shared" si="3"/>
        <v>0.399999559</v>
      </c>
      <c r="U40" s="30">
        <f>B40+SQRT(('Начальные условия и парам.'!$E$15)^2+('Начальные условия и парам.'!$K$15/2)^2)*COS(RADIANS(J40+PI()+'Начальные условия и парам.'!$H$19))</f>
        <v>9.803793930806977</v>
      </c>
      <c r="V40" s="30">
        <f>C40+SQRT(('Начальные условия и парам.'!$E$15)^2+('Начальные условия и парам.'!$K$15/2)^2)*SIN(RADIANS(J40+PI()+'Начальные условия и парам.'!$H$19))</f>
        <v>1.0752235395736869</v>
      </c>
      <c r="X40" s="30">
        <f t="shared" si="4"/>
        <v>0.399999559</v>
      </c>
      <c r="Y40" s="30">
        <f>B40+SQRT(('Начальные условия и парам.'!$E$15)^2+('Начальные условия и парам.'!$K$15/2)^2)*COS(RADIANS(J40+PI()-'Начальные условия и парам.'!$H$19))</f>
        <v>9.223778853658235</v>
      </c>
      <c r="Z40" s="30">
        <f>C40+SQRT(('Начальные условия и парам.'!$E$15)^2+('Начальные условия и парам.'!$K$15/2)^2)*SIN(RADIANS(J40+PI()-'Начальные условия и парам.'!$H$19))</f>
        <v>-0.83882518244990312</v>
      </c>
    </row>
    <row r="41" spans="1:26" x14ac:dyDescent="0.25">
      <c r="A41" s="30">
        <f>'аксел-ры 1 и 2 и интегр-ие  '!M44</f>
        <v>0.40999943</v>
      </c>
      <c r="B41" s="30">
        <f>'аксел-ры 1 и 2 и интегр-ие  '!P44</f>
        <v>6.7971012916861415</v>
      </c>
      <c r="C41" s="30">
        <f>'аксел-ры 1 и 2 и интегр-ие  '!Y44</f>
        <v>0.95757655266006925</v>
      </c>
      <c r="D41" s="12"/>
      <c r="E41" s="30">
        <f>'аксел-ры 1 и 2 и интегр-ие  '!Q44</f>
        <v>0.40999943</v>
      </c>
      <c r="F41" s="30">
        <f>'аксел-ры 1 и 2 и интегр-ие  '!T44</f>
        <v>8.6764865332579575</v>
      </c>
      <c r="G41" s="30">
        <f>'аксел-ры 1 и 2 и интегр-ие  '!AC44</f>
        <v>0.27353626600873193</v>
      </c>
      <c r="H41" s="12"/>
      <c r="I41" s="30">
        <f t="shared" si="0"/>
        <v>0.40999943</v>
      </c>
      <c r="J41" s="30">
        <f>DEGREES(ASIN((G41-C41)/'Начальные условия и парам.'!$B$15))</f>
        <v>-19.999999999999996</v>
      </c>
      <c r="L41" s="30">
        <f t="shared" si="1"/>
        <v>0.40999943</v>
      </c>
      <c r="M41" s="30">
        <f>B41+SQRT(('Начальные условия и парам.'!$B$15+'Начальные условия и парам.'!$H$15)^2+('Начальные условия и парам.'!$K$15/2)^2)*COS(RADIANS(J41+'Начальные условия и парам.'!$E$19))</f>
        <v>12.777277159727261</v>
      </c>
      <c r="N41" s="30">
        <f>C41+SQRT(('Начальные условия и парам.'!$B$15+'Начальные условия и парам.'!$H$15)^2+('Начальные условия и парам.'!$K$15/2)^2)*SIN(RADIANS(J41+'Начальные условия и парам.'!$E$19))</f>
        <v>-0.15485168650803449</v>
      </c>
      <c r="P41" s="30">
        <f t="shared" si="2"/>
        <v>0.40999943</v>
      </c>
      <c r="Q41" s="30">
        <f>B41+SQRT(('Начальные условия и парам.'!$B$15+'Начальные условия и парам.'!$H$15)^2+('Начальные условия и парам.'!$K$15/2)^2)*COS(RADIANS(J41-'Начальные условия и парам.'!$E$19))</f>
        <v>12.093236873075924</v>
      </c>
      <c r="R41" s="30">
        <f>C41+SQRT(('Начальные условия и парам.'!$B$15+'Начальные условия и парам.'!$H$15)^2+('Начальные условия и парам.'!$K$15/2)^2)*SIN(RADIANS(J41-'Начальные условия и парам.'!$E$19))</f>
        <v>-2.0342369280798507</v>
      </c>
      <c r="T41" s="30">
        <f t="shared" si="3"/>
        <v>0.40999943</v>
      </c>
      <c r="U41" s="30">
        <f>B41+SQRT(('Начальные условия и парам.'!$E$15)^2+('Начальные условия и парам.'!$K$15/2)^2)*COS(RADIANS(J41+PI()+'Начальные условия и парам.'!$H$19))</f>
        <v>9.9581819132958973</v>
      </c>
      <c r="V41" s="30">
        <f>C41+SQRT(('Начальные условия и парам.'!$E$15)^2+('Начальные условия и парам.'!$K$15/2)^2)*SIN(RADIANS(J41+PI()+'Начальные условия и парам.'!$H$19))</f>
        <v>1.0445782979487512</v>
      </c>
      <c r="X41" s="30">
        <f t="shared" si="4"/>
        <v>0.40999943</v>
      </c>
      <c r="Y41" s="30">
        <f>B41+SQRT(('Начальные условия и парам.'!$E$15)^2+('Начальные условия и парам.'!$K$15/2)^2)*COS(RADIANS(J41+PI()-'Начальные условия и парам.'!$H$19))</f>
        <v>9.3781668361471553</v>
      </c>
      <c r="Z41" s="30">
        <f>C41+SQRT(('Начальные условия и парам.'!$E$15)^2+('Начальные условия и парам.'!$K$15/2)^2)*SIN(RADIANS(J41+PI()-'Начальные условия и парам.'!$H$19))</f>
        <v>-0.86947042407483899</v>
      </c>
    </row>
    <row r="42" spans="1:26" x14ac:dyDescent="0.25">
      <c r="A42" s="30">
        <f>'аксел-ры 1 и 2 и интегр-ие  '!M45</f>
        <v>0.41999980799999997</v>
      </c>
      <c r="B42" s="30">
        <f>'аксел-ры 1 и 2 и интегр-ие  '!P45</f>
        <v>6.950889648231966</v>
      </c>
      <c r="C42" s="30">
        <f>'аксел-ры 1 и 2 и интегр-ие  '!Y45</f>
        <v>0.92792474770626443</v>
      </c>
      <c r="D42" s="12"/>
      <c r="E42" s="30">
        <f>'аксел-ры 1 и 2 и интегр-ие  '!Q45</f>
        <v>0.41999980799999997</v>
      </c>
      <c r="F42" s="30">
        <f>'аксел-ры 1 и 2 и интегр-ие  '!T45</f>
        <v>8.8302748898037819</v>
      </c>
      <c r="G42" s="30">
        <f>'аксел-ры 1 и 2 и интегр-ие  '!AC45</f>
        <v>0.24388446105492756</v>
      </c>
      <c r="H42" s="12"/>
      <c r="I42" s="30">
        <f t="shared" si="0"/>
        <v>0.41999980799999997</v>
      </c>
      <c r="J42" s="30">
        <f>DEGREES(ASIN((G42-C42)/'Начальные условия и парам.'!$B$15))</f>
        <v>-19.999999999999982</v>
      </c>
      <c r="L42" s="30">
        <f t="shared" si="1"/>
        <v>0.41999980799999997</v>
      </c>
      <c r="M42" s="30">
        <f>B42+SQRT(('Начальные условия и парам.'!$B$15+'Начальные условия и парам.'!$H$15)^2+('Начальные условия и парам.'!$K$15/2)^2)*COS(RADIANS(J42+'Начальные условия и парам.'!$E$19))</f>
        <v>12.931065516273085</v>
      </c>
      <c r="N42" s="30">
        <f>C42+SQRT(('Начальные условия и парам.'!$B$15+'Начальные условия и парам.'!$H$15)^2+('Начальные условия и парам.'!$K$15/2)^2)*SIN(RADIANS(J42+'Начальные условия и парам.'!$E$19))</f>
        <v>-0.18450349146183775</v>
      </c>
      <c r="P42" s="30">
        <f t="shared" si="2"/>
        <v>0.41999980799999997</v>
      </c>
      <c r="Q42" s="30">
        <f>B42+SQRT(('Начальные условия и парам.'!$B$15+'Начальные условия и парам.'!$H$15)^2+('Начальные условия и парам.'!$K$15/2)^2)*COS(RADIANS(J42-'Начальные условия и парам.'!$E$19))</f>
        <v>12.247025229621748</v>
      </c>
      <c r="R42" s="30">
        <f>C42+SQRT(('Начальные условия и парам.'!$B$15+'Начальные условия и парам.'!$H$15)^2+('Начальные условия и парам.'!$K$15/2)^2)*SIN(RADIANS(J42-'Начальные условия и парам.'!$E$19))</f>
        <v>-2.0638887330336542</v>
      </c>
      <c r="T42" s="30">
        <f t="shared" si="3"/>
        <v>0.41999980799999997</v>
      </c>
      <c r="U42" s="30">
        <f>B42+SQRT(('Начальные условия и парам.'!$E$15)^2+('Начальные условия и парам.'!$K$15/2)^2)*COS(RADIANS(J42+PI()+'Начальные условия и парам.'!$H$19))</f>
        <v>10.111970269841722</v>
      </c>
      <c r="V42" s="30">
        <f>C42+SQRT(('Начальные условия и парам.'!$E$15)^2+('Начальные условия и парам.'!$K$15/2)^2)*SIN(RADIANS(J42+PI()+'Начальные условия и парам.'!$H$19))</f>
        <v>1.0149264929949473</v>
      </c>
      <c r="X42" s="30">
        <f t="shared" si="4"/>
        <v>0.41999980799999997</v>
      </c>
      <c r="Y42" s="30">
        <f>B42+SQRT(('Начальные условия и парам.'!$E$15)^2+('Начальные условия и парам.'!$K$15/2)^2)*COS(RADIANS(J42+PI()-'Начальные условия и парам.'!$H$19))</f>
        <v>9.5319551926929815</v>
      </c>
      <c r="Z42" s="30">
        <f>C42+SQRT(('Начальные условия и парам.'!$E$15)^2+('Начальные условия и парам.'!$K$15/2)^2)*SIN(RADIANS(J42+PI()-'Начальные условия и парам.'!$H$19))</f>
        <v>-0.89912222902864292</v>
      </c>
    </row>
    <row r="43" spans="1:26" x14ac:dyDescent="0.25">
      <c r="A43" s="30">
        <f>'аксел-ры 1 и 2 и интегр-ие  '!M46</f>
        <v>0.42999965000000001</v>
      </c>
      <c r="B43" s="30">
        <f>'аксел-ры 1 и 2 и интегр-ие  '!P46</f>
        <v>7.1045749795679489</v>
      </c>
      <c r="C43" s="30">
        <f>'аксел-ры 1 и 2 и интегр-ие  '!Y46</f>
        <v>0.89919423786985009</v>
      </c>
      <c r="D43" s="12"/>
      <c r="E43" s="30">
        <f>'аксел-ры 1 и 2 и интегр-ие  '!Q46</f>
        <v>0.42999965000000001</v>
      </c>
      <c r="F43" s="30">
        <f>'аксел-ры 1 и 2 и интегр-ие  '!T46</f>
        <v>8.9839602211397658</v>
      </c>
      <c r="G43" s="30">
        <f>'аксел-ры 1 и 2 и интегр-ие  '!AC46</f>
        <v>0.21515395121851277</v>
      </c>
      <c r="H43" s="12"/>
      <c r="I43" s="30">
        <f t="shared" si="0"/>
        <v>0.42999965000000001</v>
      </c>
      <c r="J43" s="30">
        <f>DEGREES(ASIN((G43-C43)/'Начальные условия и парам.'!$B$15))</f>
        <v>-19.999999999999996</v>
      </c>
      <c r="L43" s="30">
        <f t="shared" si="1"/>
        <v>0.42999965000000001</v>
      </c>
      <c r="M43" s="30">
        <f>B43+SQRT(('Начальные условия и парам.'!$B$15+'Начальные условия и парам.'!$H$15)^2+('Начальные условия и парам.'!$K$15/2)^2)*COS(RADIANS(J43+'Начальные условия и парам.'!$E$19))</f>
        <v>13.084750847609069</v>
      </c>
      <c r="N43" s="30">
        <f>C43+SQRT(('Начальные условия и парам.'!$B$15+'Начальные условия и парам.'!$H$15)^2+('Начальные условия и парам.'!$K$15/2)^2)*SIN(RADIANS(J43+'Начальные условия и парам.'!$E$19))</f>
        <v>-0.21323400129825365</v>
      </c>
      <c r="P43" s="30">
        <f t="shared" si="2"/>
        <v>0.42999965000000001</v>
      </c>
      <c r="Q43" s="30">
        <f>B43+SQRT(('Начальные условия и парам.'!$B$15+'Начальные условия и парам.'!$H$15)^2+('Начальные условия и парам.'!$K$15/2)^2)*COS(RADIANS(J43-'Начальные условия и парам.'!$E$19))</f>
        <v>12.40071056095773</v>
      </c>
      <c r="R43" s="30">
        <f>C43+SQRT(('Начальные условия и парам.'!$B$15+'Начальные условия и парам.'!$H$15)^2+('Начальные условия и парам.'!$K$15/2)^2)*SIN(RADIANS(J43-'Начальные условия и парам.'!$E$19))</f>
        <v>-2.0926192428700698</v>
      </c>
      <c r="T43" s="30">
        <f t="shared" si="3"/>
        <v>0.42999965000000001</v>
      </c>
      <c r="U43" s="30">
        <f>B43+SQRT(('Начальные условия и парам.'!$E$15)^2+('Начальные условия и парам.'!$K$15/2)^2)*COS(RADIANS(J43+PI()+'Начальные условия и парам.'!$H$19))</f>
        <v>10.265655601177706</v>
      </c>
      <c r="V43" s="30">
        <f>C43+SQRT(('Начальные условия и парам.'!$E$15)^2+('Начальные условия и парам.'!$K$15/2)^2)*SIN(RADIANS(J43+PI()+'Начальные условия и парам.'!$H$19))</f>
        <v>0.98619598315853219</v>
      </c>
      <c r="X43" s="30">
        <f t="shared" si="4"/>
        <v>0.42999965000000001</v>
      </c>
      <c r="Y43" s="30">
        <f>B43+SQRT(('Начальные условия и парам.'!$E$15)^2+('Начальные условия и парам.'!$K$15/2)^2)*COS(RADIANS(J43+PI()-'Начальные условия и парам.'!$H$19))</f>
        <v>9.6856405240289636</v>
      </c>
      <c r="Z43" s="30">
        <f>C43+SQRT(('Начальные условия и парам.'!$E$15)^2+('Начальные условия и парам.'!$K$15/2)^2)*SIN(RADIANS(J43+PI()-'Начальные условия и парам.'!$H$19))</f>
        <v>-0.92785273886505815</v>
      </c>
    </row>
    <row r="44" spans="1:26" x14ac:dyDescent="0.25">
      <c r="A44" s="30">
        <f>'аксел-ры 1 и 2 и интегр-ие  '!M47</f>
        <v>0.439999521</v>
      </c>
      <c r="B44" s="30">
        <f>'аксел-ры 1 и 2 и интегр-ие  '!P47</f>
        <v>7.2583637634567628</v>
      </c>
      <c r="C44" s="30">
        <f>'аксел-ры 1 и 2 и интегр-ие  '!Y47</f>
        <v>0.87146706130873941</v>
      </c>
      <c r="D44" s="12"/>
      <c r="E44" s="30">
        <f>'аксел-ры 1 и 2 и интегр-ие  '!Q47</f>
        <v>0.439999521</v>
      </c>
      <c r="F44" s="30">
        <f>'аксел-ры 1 и 2 и интегр-ие  '!T47</f>
        <v>9.1377490050285797</v>
      </c>
      <c r="G44" s="30">
        <f>'аксел-ры 1 и 2 и интегр-ие  '!AC47</f>
        <v>0.1874267746574021</v>
      </c>
      <c r="H44" s="12"/>
      <c r="I44" s="30">
        <f t="shared" si="0"/>
        <v>0.439999521</v>
      </c>
      <c r="J44" s="30">
        <f>DEGREES(ASIN((G44-C44)/'Начальные условия и парам.'!$B$15))</f>
        <v>-19.999999999999996</v>
      </c>
      <c r="L44" s="30">
        <f t="shared" si="1"/>
        <v>0.439999521</v>
      </c>
      <c r="M44" s="30">
        <f>B44+SQRT(('Начальные условия и парам.'!$B$15+'Начальные условия и парам.'!$H$15)^2+('Начальные условия и парам.'!$K$15/2)^2)*COS(RADIANS(J44+'Начальные условия и парам.'!$E$19))</f>
        <v>13.238539631497883</v>
      </c>
      <c r="N44" s="30">
        <f>C44+SQRT(('Начальные условия и парам.'!$B$15+'Начальные условия и парам.'!$H$15)^2+('Начальные условия и парам.'!$K$15/2)^2)*SIN(RADIANS(J44+'Начальные условия и парам.'!$E$19))</f>
        <v>-0.24096117785936433</v>
      </c>
      <c r="P44" s="30">
        <f t="shared" si="2"/>
        <v>0.439999521</v>
      </c>
      <c r="Q44" s="30">
        <f>B44+SQRT(('Начальные условия и парам.'!$B$15+'Начальные условия и парам.'!$H$15)^2+('Начальные условия и парам.'!$K$15/2)^2)*COS(RADIANS(J44-'Начальные условия и парам.'!$E$19))</f>
        <v>12.554499344846544</v>
      </c>
      <c r="R44" s="30">
        <f>C44+SQRT(('Начальные условия и парам.'!$B$15+'Начальные условия и парам.'!$H$15)^2+('Начальные условия и парам.'!$K$15/2)^2)*SIN(RADIANS(J44-'Начальные условия и парам.'!$E$19))</f>
        <v>-2.1203464194311805</v>
      </c>
      <c r="T44" s="30">
        <f t="shared" si="3"/>
        <v>0.439999521</v>
      </c>
      <c r="U44" s="30">
        <f>B44+SQRT(('Начальные условия и парам.'!$E$15)^2+('Начальные условия и парам.'!$K$15/2)^2)*COS(RADIANS(J44+PI()+'Начальные условия и парам.'!$H$19))</f>
        <v>10.419444385066519</v>
      </c>
      <c r="V44" s="30">
        <f>C44+SQRT(('Начальные условия и парам.'!$E$15)^2+('Начальные условия и парам.'!$K$15/2)^2)*SIN(RADIANS(J44+PI()+'Начальные условия и парам.'!$H$19))</f>
        <v>0.95846880659742151</v>
      </c>
      <c r="X44" s="30">
        <f t="shared" si="4"/>
        <v>0.439999521</v>
      </c>
      <c r="Y44" s="30">
        <f>B44+SQRT(('Начальные условия и парам.'!$E$15)^2+('Начальные условия и парам.'!$K$15/2)^2)*COS(RADIANS(J44+PI()-'Начальные условия и парам.'!$H$19))</f>
        <v>9.8394293079177775</v>
      </c>
      <c r="Z44" s="30">
        <f>C44+SQRT(('Начальные условия и парам.'!$E$15)^2+('Начальные условия и парам.'!$K$15/2)^2)*SIN(RADIANS(J44+PI()-'Начальные условия и парам.'!$H$19))</f>
        <v>-0.95557991542616882</v>
      </c>
    </row>
    <row r="45" spans="1:26" x14ac:dyDescent="0.25">
      <c r="A45" s="30">
        <f>'аксел-ры 1 и 2 и интегр-ие  '!M48</f>
        <v>0.449999392</v>
      </c>
      <c r="B45" s="30">
        <f>'аксел-ры 1 и 2 и интегр-ие  '!P48</f>
        <v>7.4120228450476056</v>
      </c>
      <c r="C45" s="30">
        <f>'аксел-ры 1 и 2 и интегр-ие  '!Y48</f>
        <v>0.8453009961491782</v>
      </c>
      <c r="D45" s="12"/>
      <c r="E45" s="30">
        <f>'аксел-ры 1 и 2 и интегр-ие  '!Q48</f>
        <v>0.449999392</v>
      </c>
      <c r="F45" s="30">
        <f>'аксел-ры 1 и 2 и интегр-ие  '!T48</f>
        <v>9.2914080866194233</v>
      </c>
      <c r="G45" s="30">
        <f>'аксел-ры 1 и 2 и интегр-ие  '!AC48</f>
        <v>0.16126070949784133</v>
      </c>
      <c r="H45" s="12"/>
      <c r="I45" s="30">
        <f t="shared" si="0"/>
        <v>0.449999392</v>
      </c>
      <c r="J45" s="30">
        <f>DEGREES(ASIN((G45-C45)/'Начальные условия и парам.'!$B$15))</f>
        <v>-19.999999999999982</v>
      </c>
      <c r="L45" s="30">
        <f t="shared" si="1"/>
        <v>0.449999392</v>
      </c>
      <c r="M45" s="30">
        <f>B45+SQRT(('Начальные условия и парам.'!$B$15+'Начальные условия и парам.'!$H$15)^2+('Начальные условия и парам.'!$K$15/2)^2)*COS(RADIANS(J45+'Начальные условия и парам.'!$E$19))</f>
        <v>13.392198713088725</v>
      </c>
      <c r="N45" s="30">
        <f>C45+SQRT(('Начальные условия и парам.'!$B$15+'Начальные условия и парам.'!$H$15)^2+('Начальные условия и парам.'!$K$15/2)^2)*SIN(RADIANS(J45+'Начальные условия и парам.'!$E$19))</f>
        <v>-0.26712724301892399</v>
      </c>
      <c r="P45" s="30">
        <f t="shared" si="2"/>
        <v>0.449999392</v>
      </c>
      <c r="Q45" s="30">
        <f>B45+SQRT(('Начальные условия и парам.'!$B$15+'Начальные условия и парам.'!$H$15)^2+('Начальные условия и парам.'!$K$15/2)^2)*COS(RADIANS(J45-'Начальные условия и парам.'!$E$19))</f>
        <v>12.708158426437388</v>
      </c>
      <c r="R45" s="30">
        <f>C45+SQRT(('Начальные условия и парам.'!$B$15+'Начальные условия и парам.'!$H$15)^2+('Начальные условия и парам.'!$K$15/2)^2)*SIN(RADIANS(J45-'Начальные условия и парам.'!$E$19))</f>
        <v>-2.1465124845907404</v>
      </c>
      <c r="T45" s="30">
        <f t="shared" si="3"/>
        <v>0.449999392</v>
      </c>
      <c r="U45" s="30">
        <f>B45+SQRT(('Начальные условия и парам.'!$E$15)^2+('Начальные условия и парам.'!$K$15/2)^2)*COS(RADIANS(J45+PI()+'Начальные условия и парам.'!$H$19))</f>
        <v>10.573103466657361</v>
      </c>
      <c r="V45" s="30">
        <f>C45+SQRT(('Начальные условия и парам.'!$E$15)^2+('Начальные условия и парам.'!$K$15/2)^2)*SIN(RADIANS(J45+PI()+'Начальные условия и парам.'!$H$19))</f>
        <v>0.93230274143786107</v>
      </c>
      <c r="X45" s="30">
        <f t="shared" si="4"/>
        <v>0.449999392</v>
      </c>
      <c r="Y45" s="30">
        <f>B45+SQRT(('Начальные условия и парам.'!$E$15)^2+('Начальные условия и парам.'!$K$15/2)^2)*COS(RADIANS(J45+PI()-'Начальные условия и парам.'!$H$19))</f>
        <v>9.9930883895086211</v>
      </c>
      <c r="Z45" s="30">
        <f>C45+SQRT(('Начальные условия и парам.'!$E$15)^2+('Начальные условия и парам.'!$K$15/2)^2)*SIN(RADIANS(J45+PI()-'Начальные условия и парам.'!$H$19))</f>
        <v>-0.98174598058572915</v>
      </c>
    </row>
    <row r="46" spans="1:26" x14ac:dyDescent="0.25">
      <c r="A46" s="30">
        <f>'аксел-ры 1 и 2 и интегр-ие  '!M49</f>
        <v>0.45999973999999999</v>
      </c>
      <c r="B46" s="30">
        <f>'аксел-ры 1 и 2 и интегр-ие  '!P49</f>
        <v>7.5650827753347309</v>
      </c>
      <c r="C46" s="30">
        <f>'аксел-ры 1 и 2 и интегр-ие  '!Y49</f>
        <v>0.82121995984254514</v>
      </c>
      <c r="D46" s="12"/>
      <c r="E46" s="30">
        <f>'аксел-ры 1 и 2 и интегр-ие  '!Q49</f>
        <v>0.45999973999999999</v>
      </c>
      <c r="F46" s="30">
        <f>'аксел-ры 1 и 2 и интегр-ие  '!T49</f>
        <v>9.4444680169065478</v>
      </c>
      <c r="G46" s="30">
        <f>'аксел-ры 1 и 2 и интегр-ие  '!AC49</f>
        <v>0.13717967319120783</v>
      </c>
      <c r="H46" s="12"/>
      <c r="I46" s="30">
        <f t="shared" si="0"/>
        <v>0.45999973999999999</v>
      </c>
      <c r="J46" s="30">
        <f>DEGREES(ASIN((G46-C46)/'Начальные условия и парам.'!$B$15))</f>
        <v>-19.999999999999996</v>
      </c>
      <c r="L46" s="30">
        <f t="shared" si="1"/>
        <v>0.45999973999999999</v>
      </c>
      <c r="M46" s="30">
        <f>B46+SQRT(('Начальные условия и парам.'!$B$15+'Начальные условия и парам.'!$H$15)^2+('Начальные условия и парам.'!$K$15/2)^2)*COS(RADIANS(J46+'Начальные условия и парам.'!$E$19))</f>
        <v>13.545258643375849</v>
      </c>
      <c r="N46" s="30">
        <f>C46+SQRT(('Начальные условия и парам.'!$B$15+'Начальные условия и парам.'!$H$15)^2+('Начальные условия и парам.'!$K$15/2)^2)*SIN(RADIANS(J46+'Начальные условия и парам.'!$E$19))</f>
        <v>-0.29120827932555859</v>
      </c>
      <c r="P46" s="30">
        <f t="shared" si="2"/>
        <v>0.45999973999999999</v>
      </c>
      <c r="Q46" s="30">
        <f>B46+SQRT(('Начальные условия и парам.'!$B$15+'Начальные условия и парам.'!$H$15)^2+('Начальные условия и парам.'!$K$15/2)^2)*COS(RADIANS(J46-'Начальные условия и парам.'!$E$19))</f>
        <v>12.861218356724512</v>
      </c>
      <c r="R46" s="30">
        <f>C46+SQRT(('Начальные условия и парам.'!$B$15+'Начальные условия и парам.'!$H$15)^2+('Начальные условия и парам.'!$K$15/2)^2)*SIN(RADIANS(J46-'Начальные условия и парам.'!$E$19))</f>
        <v>-2.1705935208973748</v>
      </c>
      <c r="T46" s="30">
        <f t="shared" si="3"/>
        <v>0.45999973999999999</v>
      </c>
      <c r="U46" s="30">
        <f>B46+SQRT(('Начальные условия и парам.'!$E$15)^2+('Начальные условия и парам.'!$K$15/2)^2)*COS(RADIANS(J46+PI()+'Начальные условия и парам.'!$H$19))</f>
        <v>10.726163396944488</v>
      </c>
      <c r="V46" s="30">
        <f>C46+SQRT(('Начальные условия и парам.'!$E$15)^2+('Начальные условия и парам.'!$K$15/2)^2)*SIN(RADIANS(J46+PI()+'Начальные условия и парам.'!$H$19))</f>
        <v>0.90822170513122724</v>
      </c>
      <c r="X46" s="30">
        <f t="shared" si="4"/>
        <v>0.45999973999999999</v>
      </c>
      <c r="Y46" s="30">
        <f>B46+SQRT(('Начальные условия и парам.'!$E$15)^2+('Начальные условия и парам.'!$K$15/2)^2)*COS(RADIANS(J46+PI()-'Начальные условия и парам.'!$H$19))</f>
        <v>10.146148319795746</v>
      </c>
      <c r="Z46" s="30">
        <f>C46+SQRT(('Начальные условия и парам.'!$E$15)^2+('Начальные условия и парам.'!$K$15/2)^2)*SIN(RADIANS(J46+PI()-'Начальные условия и парам.'!$H$19))</f>
        <v>-1.0058270168923631</v>
      </c>
    </row>
    <row r="47" spans="1:26" x14ac:dyDescent="0.25">
      <c r="A47" s="30">
        <f>'аксел-ры 1 и 2 и интегр-ие  '!M50</f>
        <v>0.46999961099999998</v>
      </c>
      <c r="B47" s="30">
        <f>'аксел-ры 1 и 2 и интегр-ие  '!P50</f>
        <v>7.7171913346920888</v>
      </c>
      <c r="C47" s="30">
        <f>'аксел-ры 1 и 2 и интегр-ие  '!Y50</f>
        <v>0.79906780728048465</v>
      </c>
      <c r="D47" s="12"/>
      <c r="E47" s="30">
        <f>'аксел-ры 1 и 2 и интегр-ие  '!Q50</f>
        <v>0.46999961099999998</v>
      </c>
      <c r="F47" s="30">
        <f>'аксел-ры 1 и 2 и интегр-ие  '!T50</f>
        <v>9.5965765762639048</v>
      </c>
      <c r="G47" s="30">
        <f>'аксел-ры 1 и 2 и интегр-ие  '!AC50</f>
        <v>0.11502752062914734</v>
      </c>
      <c r="H47" s="12"/>
      <c r="I47" s="30">
        <f t="shared" si="0"/>
        <v>0.46999961099999998</v>
      </c>
      <c r="J47" s="30">
        <f>DEGREES(ASIN((G47-C47)/'Начальные условия и парам.'!$B$15))</f>
        <v>-19.999999999999996</v>
      </c>
      <c r="L47" s="30">
        <f t="shared" si="1"/>
        <v>0.46999961099999998</v>
      </c>
      <c r="M47" s="30">
        <f>B47+SQRT(('Начальные условия и парам.'!$B$15+'Начальные условия и парам.'!$H$15)^2+('Начальные условия и парам.'!$K$15/2)^2)*COS(RADIANS(J47+'Начальные условия и парам.'!$E$19))</f>
        <v>13.697367202733208</v>
      </c>
      <c r="N47" s="30">
        <f>C47+SQRT(('Начальные условия и парам.'!$B$15+'Начальные условия и парам.'!$H$15)^2+('Начальные условия и парам.'!$K$15/2)^2)*SIN(RADIANS(J47+'Начальные условия и парам.'!$E$19))</f>
        <v>-0.31336043188761908</v>
      </c>
      <c r="P47" s="30">
        <f t="shared" si="2"/>
        <v>0.46999961099999998</v>
      </c>
      <c r="Q47" s="30">
        <f>B47+SQRT(('Начальные условия и парам.'!$B$15+'Начальные условия и парам.'!$H$15)^2+('Начальные условия и парам.'!$K$15/2)^2)*COS(RADIANS(J47-'Начальные условия и парам.'!$E$19))</f>
        <v>13.013326916081869</v>
      </c>
      <c r="R47" s="30">
        <f>C47+SQRT(('Начальные условия и парам.'!$B$15+'Начальные условия и парам.'!$H$15)^2+('Начальные условия и парам.'!$K$15/2)^2)*SIN(RADIANS(J47-'Начальные условия и парам.'!$E$19))</f>
        <v>-2.1927456734594353</v>
      </c>
      <c r="T47" s="30">
        <f t="shared" si="3"/>
        <v>0.46999961099999998</v>
      </c>
      <c r="U47" s="30">
        <f>B47+SQRT(('Начальные условия и парам.'!$E$15)^2+('Начальные условия и парам.'!$K$15/2)^2)*COS(RADIANS(J47+PI()+'Начальные условия и парам.'!$H$19))</f>
        <v>10.878271956301845</v>
      </c>
      <c r="V47" s="30">
        <f>C47+SQRT(('Начальные условия и парам.'!$E$15)^2+('Начальные условия и парам.'!$K$15/2)^2)*SIN(RADIANS(J47+PI()+'Начальные условия и парам.'!$H$19))</f>
        <v>0.88606955256916675</v>
      </c>
      <c r="X47" s="30">
        <f t="shared" si="4"/>
        <v>0.46999961099999998</v>
      </c>
      <c r="Y47" s="30">
        <f>B47+SQRT(('Начальные условия и парам.'!$E$15)^2+('Начальные условия и парам.'!$K$15/2)^2)*COS(RADIANS(J47+PI()-'Начальные условия и парам.'!$H$19))</f>
        <v>10.298256879153104</v>
      </c>
      <c r="Z47" s="30">
        <f>C47+SQRT(('Начальные условия и парам.'!$E$15)^2+('Начальные условия и парам.'!$K$15/2)^2)*SIN(RADIANS(J47+PI()-'Начальные условия и парам.'!$H$19))</f>
        <v>-1.0279791694544236</v>
      </c>
    </row>
    <row r="48" spans="1:26" x14ac:dyDescent="0.25">
      <c r="A48" s="30">
        <f>'аксел-ры 1 и 2 и интегр-ие  '!M51</f>
        <v>0.479999483</v>
      </c>
      <c r="B48" s="30">
        <f>'аксел-ры 1 и 2 и интегр-ие  '!P51</f>
        <v>7.8683106965235714</v>
      </c>
      <c r="C48" s="30">
        <f>'аксел-ры 1 и 2 и интегр-ие  '!Y51</f>
        <v>0.77812817508624876</v>
      </c>
      <c r="D48" s="12"/>
      <c r="E48" s="30">
        <f>'аксел-ры 1 и 2 и интегр-ие  '!Q51</f>
        <v>0.479999483</v>
      </c>
      <c r="F48" s="30">
        <f>'аксел-ры 1 и 2 и интегр-ие  '!T51</f>
        <v>9.7476959380953883</v>
      </c>
      <c r="G48" s="30">
        <f>'аксел-ры 1 и 2 и интегр-ие  '!AC51</f>
        <v>9.4087888434911449E-2</v>
      </c>
      <c r="H48" s="12"/>
      <c r="I48" s="30">
        <f t="shared" si="0"/>
        <v>0.479999483</v>
      </c>
      <c r="J48" s="30">
        <f>DEGREES(ASIN((G48-C48)/'Начальные условия и парам.'!$B$15))</f>
        <v>-19.999999999999996</v>
      </c>
      <c r="L48" s="30">
        <f t="shared" si="1"/>
        <v>0.479999483</v>
      </c>
      <c r="M48" s="30">
        <f>B48+SQRT(('Начальные условия и парам.'!$B$15+'Начальные условия и парам.'!$H$15)^2+('Начальные условия и парам.'!$K$15/2)^2)*COS(RADIANS(J48+'Начальные условия и парам.'!$E$19))</f>
        <v>13.848486564564691</v>
      </c>
      <c r="N48" s="30">
        <f>C48+SQRT(('Начальные условия и парам.'!$B$15+'Начальные условия и парам.'!$H$15)^2+('Начальные условия и парам.'!$K$15/2)^2)*SIN(RADIANS(J48+'Начальные условия и парам.'!$E$19))</f>
        <v>-0.33430006408185498</v>
      </c>
      <c r="P48" s="30">
        <f t="shared" si="2"/>
        <v>0.479999483</v>
      </c>
      <c r="Q48" s="30">
        <f>B48+SQRT(('Начальные условия и парам.'!$B$15+'Начальные условия и парам.'!$H$15)^2+('Начальные условия и парам.'!$K$15/2)^2)*COS(RADIANS(J48-'Начальные условия и парам.'!$E$19))</f>
        <v>13.164446277913353</v>
      </c>
      <c r="R48" s="30">
        <f>C48+SQRT(('Начальные условия и парам.'!$B$15+'Начальные условия и парам.'!$H$15)^2+('Начальные условия и парам.'!$K$15/2)^2)*SIN(RADIANS(J48-'Начальные условия и парам.'!$E$19))</f>
        <v>-2.2136853056536712</v>
      </c>
      <c r="T48" s="30">
        <f t="shared" si="3"/>
        <v>0.479999483</v>
      </c>
      <c r="U48" s="30">
        <f>B48+SQRT(('Начальные условия и парам.'!$E$15)^2+('Начальные условия и парам.'!$K$15/2)^2)*COS(RADIANS(J48+PI()+'Начальные условия и парам.'!$H$19))</f>
        <v>11.029391318133328</v>
      </c>
      <c r="V48" s="30">
        <f>C48+SQRT(('Начальные условия и парам.'!$E$15)^2+('Начальные условия и парам.'!$K$15/2)^2)*SIN(RADIANS(J48+PI()+'Начальные условия и парам.'!$H$19))</f>
        <v>0.86512992037493086</v>
      </c>
      <c r="X48" s="30">
        <f t="shared" si="4"/>
        <v>0.479999483</v>
      </c>
      <c r="Y48" s="30">
        <f>B48+SQRT(('Начальные условия и парам.'!$E$15)^2+('Начальные условия и парам.'!$K$15/2)^2)*COS(RADIANS(J48+PI()-'Начальные условия и парам.'!$H$19))</f>
        <v>10.449376240984586</v>
      </c>
      <c r="Z48" s="30">
        <f>C48+SQRT(('Начальные условия и парам.'!$E$15)^2+('Начальные условия и парам.'!$K$15/2)^2)*SIN(RADIANS(J48+PI()-'Начальные условия и парам.'!$H$19))</f>
        <v>-1.0489188016486595</v>
      </c>
    </row>
    <row r="49" spans="1:26" x14ac:dyDescent="0.25">
      <c r="A49" s="30">
        <f>'аксел-ры 1 и 2 и интегр-ие  '!M52</f>
        <v>0.489999354</v>
      </c>
      <c r="B49" s="30">
        <f>'аксел-ры 1 и 2 и интегр-ие  '!P52</f>
        <v>8.0184656502170046</v>
      </c>
      <c r="C49" s="30">
        <f>'аксел-ры 1 и 2 и интегр-ие  '!Y52</f>
        <v>0.75774976980478748</v>
      </c>
      <c r="D49" s="12"/>
      <c r="E49" s="30">
        <f>'аксел-ры 1 и 2 и интегр-ие  '!Q52</f>
        <v>0.489999354</v>
      </c>
      <c r="F49" s="30">
        <f>'аксел-ры 1 и 2 и интегр-ие  '!T52</f>
        <v>9.8978508917888206</v>
      </c>
      <c r="G49" s="30">
        <f>'аксел-ры 1 и 2 и интегр-ие  '!AC52</f>
        <v>7.3709483153450606E-2</v>
      </c>
      <c r="H49" s="12"/>
      <c r="I49" s="30">
        <f t="shared" si="0"/>
        <v>0.489999354</v>
      </c>
      <c r="J49" s="30">
        <f>DEGREES(ASIN((G49-C49)/'Начальные условия и парам.'!$B$15))</f>
        <v>-19.999999999999982</v>
      </c>
      <c r="L49" s="30">
        <f t="shared" si="1"/>
        <v>0.489999354</v>
      </c>
      <c r="M49" s="30">
        <f>B49+SQRT(('Начальные условия и парам.'!$B$15+'Начальные условия и парам.'!$H$15)^2+('Начальные условия и парам.'!$K$15/2)^2)*COS(RADIANS(J49+'Начальные условия и парам.'!$E$19))</f>
        <v>13.998641518258124</v>
      </c>
      <c r="N49" s="30">
        <f>C49+SQRT(('Начальные условия и парам.'!$B$15+'Начальные условия и парам.'!$H$15)^2+('Начальные условия и парам.'!$K$15/2)^2)*SIN(RADIANS(J49+'Начальные условия и парам.'!$E$19))</f>
        <v>-0.35467846936331471</v>
      </c>
      <c r="P49" s="30">
        <f t="shared" si="2"/>
        <v>0.489999354</v>
      </c>
      <c r="Q49" s="30">
        <f>B49+SQRT(('Начальные условия и парам.'!$B$15+'Начальные условия и парам.'!$H$15)^2+('Начальные условия и парам.'!$K$15/2)^2)*COS(RADIANS(J49-'Начальные условия и парам.'!$E$19))</f>
        <v>13.314601231606787</v>
      </c>
      <c r="R49" s="30">
        <f>C49+SQRT(('Начальные условия и парам.'!$B$15+'Начальные условия и парам.'!$H$15)^2+('Начальные условия и парам.'!$K$15/2)^2)*SIN(RADIANS(J49-'Начальные условия и парам.'!$E$19))</f>
        <v>-2.2340637109351311</v>
      </c>
      <c r="T49" s="30">
        <f t="shared" si="3"/>
        <v>0.489999354</v>
      </c>
      <c r="U49" s="30">
        <f>B49+SQRT(('Начальные условия и парам.'!$E$15)^2+('Начальные условия и парам.'!$K$15/2)^2)*COS(RADIANS(J49+PI()+'Начальные условия и парам.'!$H$19))</f>
        <v>11.17954627182676</v>
      </c>
      <c r="V49" s="30">
        <f>C49+SQRT(('Начальные условия и парам.'!$E$15)^2+('Начальные условия и парам.'!$K$15/2)^2)*SIN(RADIANS(J49+PI()+'Начальные условия и парам.'!$H$19))</f>
        <v>0.84475151509347035</v>
      </c>
      <c r="X49" s="30">
        <f t="shared" si="4"/>
        <v>0.489999354</v>
      </c>
      <c r="Y49" s="30">
        <f>B49+SQRT(('Начальные условия и парам.'!$E$15)^2+('Начальные условия и парам.'!$K$15/2)^2)*COS(RADIANS(J49+PI()-'Начальные условия и парам.'!$H$19))</f>
        <v>10.59953119467802</v>
      </c>
      <c r="Z49" s="30">
        <f>C49+SQRT(('Начальные условия и парам.'!$E$15)^2+('Начальные условия и парам.'!$K$15/2)^2)*SIN(RADIANS(J49+PI()-'Начальные условия и парам.'!$H$19))</f>
        <v>-1.0692972069301199</v>
      </c>
    </row>
    <row r="50" spans="1:26" x14ac:dyDescent="0.25">
      <c r="A50" s="30">
        <f>'аксел-ры 1 и 2 и интегр-ие  '!M53</f>
        <v>0.49999970199999999</v>
      </c>
      <c r="B50" s="30">
        <f>'аксел-ры 1 и 2 и интегр-ие  '!P53</f>
        <v>8.1676344821890545</v>
      </c>
      <c r="C50" s="30">
        <f>'аксел-ры 1 и 2 и интегр-ие  '!Y53</f>
        <v>0.73760371815343184</v>
      </c>
      <c r="D50" s="12"/>
      <c r="E50" s="30">
        <f>'аксел-ры 1 и 2 и интегр-ие  '!Q53</f>
        <v>0.49999970199999999</v>
      </c>
      <c r="F50" s="30">
        <f>'аксел-ры 1 и 2 и интегр-ие  '!T53</f>
        <v>10.04701972376087</v>
      </c>
      <c r="G50" s="30">
        <f>'аксел-ры 1 и 2 и интегр-ие  '!AC53</f>
        <v>5.3563431502094971E-2</v>
      </c>
      <c r="H50" s="12"/>
      <c r="I50" s="30">
        <f t="shared" si="0"/>
        <v>0.49999970199999999</v>
      </c>
      <c r="J50" s="30">
        <f>DEGREES(ASIN((G50-C50)/'Начальные условия и парам.'!$B$15))</f>
        <v>-19.999999999999982</v>
      </c>
      <c r="L50" s="30">
        <f t="shared" si="1"/>
        <v>0.49999970199999999</v>
      </c>
      <c r="M50" s="30">
        <f>B50+SQRT(('Начальные условия и парам.'!$B$15+'Начальные условия и парам.'!$H$15)^2+('Начальные условия и парам.'!$K$15/2)^2)*COS(RADIANS(J50+'Начальные условия и парам.'!$E$19))</f>
        <v>14.147810350230174</v>
      </c>
      <c r="N50" s="30">
        <f>C50+SQRT(('Начальные условия и парам.'!$B$15+'Начальные условия и парам.'!$H$15)^2+('Начальные условия и парам.'!$K$15/2)^2)*SIN(RADIANS(J50+'Начальные условия и парам.'!$E$19))</f>
        <v>-0.37482452101467034</v>
      </c>
      <c r="P50" s="30">
        <f t="shared" si="2"/>
        <v>0.49999970199999999</v>
      </c>
      <c r="Q50" s="30">
        <f>B50+SQRT(('Начальные условия и парам.'!$B$15+'Начальные условия и парам.'!$H$15)^2+('Начальные условия и парам.'!$K$15/2)^2)*COS(RADIANS(J50-'Начальные условия и парам.'!$E$19))</f>
        <v>13.463770063578837</v>
      </c>
      <c r="R50" s="30">
        <f>C50+SQRT(('Начальные условия и парам.'!$B$15+'Начальные условия и парам.'!$H$15)^2+('Начальные условия и парам.'!$K$15/2)^2)*SIN(RADIANS(J50-'Начальные условия и парам.'!$E$19))</f>
        <v>-2.2542097625864868</v>
      </c>
      <c r="T50" s="30">
        <f t="shared" si="3"/>
        <v>0.49999970199999999</v>
      </c>
      <c r="U50" s="30">
        <f>B50+SQRT(('Начальные условия и парам.'!$E$15)^2+('Начальные условия и парам.'!$K$15/2)^2)*COS(RADIANS(J50+PI()+'Начальные условия и парам.'!$H$19))</f>
        <v>11.32871510379881</v>
      </c>
      <c r="V50" s="30">
        <f>C50+SQRT(('Начальные условия и парам.'!$E$15)^2+('Начальные условия и парам.'!$K$15/2)^2)*SIN(RADIANS(J50+PI()+'Начальные условия и парам.'!$H$19))</f>
        <v>0.82460546344211472</v>
      </c>
      <c r="X50" s="30">
        <f t="shared" si="4"/>
        <v>0.49999970199999999</v>
      </c>
      <c r="Y50" s="30">
        <f>B50+SQRT(('Начальные условия и парам.'!$E$15)^2+('Начальные условия и парам.'!$K$15/2)^2)*COS(RADIANS(J50+PI()-'Начальные условия и парам.'!$H$19))</f>
        <v>10.74870002665007</v>
      </c>
      <c r="Z50" s="30">
        <f>C50+SQRT(('Начальные условия и парам.'!$E$15)^2+('Начальные условия и парам.'!$K$15/2)^2)*SIN(RADIANS(J50+PI()-'Начальные условия и парам.'!$H$19))</f>
        <v>-1.0894432585814755</v>
      </c>
    </row>
    <row r="51" spans="1:26" x14ac:dyDescent="0.25">
      <c r="A51" s="30">
        <f>'аксел-ры 1 и 2 и интегр-ие  '!M54</f>
        <v>0.50999957299999998</v>
      </c>
      <c r="B51" s="30">
        <f>'аксел-ры 1 и 2 и интегр-ие  '!P54</f>
        <v>8.3159059325257623</v>
      </c>
      <c r="C51" s="30">
        <f>'аксел-ры 1 и 2 и интегр-ие  '!Y54</f>
        <v>0.7175536278194663</v>
      </c>
      <c r="D51" s="12"/>
      <c r="E51" s="30">
        <f>'аксел-ры 1 и 2 и интегр-ие  '!Q54</f>
        <v>0.50999957299999998</v>
      </c>
      <c r="F51" s="30">
        <f>'аксел-ры 1 и 2 и интегр-ие  '!T54</f>
        <v>10.195291174097578</v>
      </c>
      <c r="G51" s="30">
        <f>'аксел-ры 1 и 2 и интегр-ие  '!AC54</f>
        <v>3.3513341168128985E-2</v>
      </c>
      <c r="H51" s="12"/>
      <c r="I51" s="30">
        <f t="shared" si="0"/>
        <v>0.50999957299999998</v>
      </c>
      <c r="J51" s="30">
        <f>DEGREES(ASIN((G51-C51)/'Начальные условия и парам.'!$B$15))</f>
        <v>-19.999999999999996</v>
      </c>
      <c r="L51" s="30">
        <f t="shared" si="1"/>
        <v>0.50999957299999998</v>
      </c>
      <c r="M51" s="30">
        <f>B51+SQRT(('Начальные условия и парам.'!$B$15+'Начальные условия и парам.'!$H$15)^2+('Начальные условия и парам.'!$K$15/2)^2)*COS(RADIANS(J51+'Начальные условия и парам.'!$E$19))</f>
        <v>14.296081800566881</v>
      </c>
      <c r="N51" s="30">
        <f>C51+SQRT(('Начальные условия и парам.'!$B$15+'Начальные условия и парам.'!$H$15)^2+('Начальные условия и парам.'!$K$15/2)^2)*SIN(RADIANS(J51+'Начальные условия и парам.'!$E$19))</f>
        <v>-0.39487461134863744</v>
      </c>
      <c r="P51" s="30">
        <f t="shared" si="2"/>
        <v>0.50999957299999998</v>
      </c>
      <c r="Q51" s="30">
        <f>B51+SQRT(('Начальные условия и парам.'!$B$15+'Начальные условия и парам.'!$H$15)^2+('Начальные условия и парам.'!$K$15/2)^2)*COS(RADIANS(J51-'Начальные условия и парам.'!$E$19))</f>
        <v>13.612041513915543</v>
      </c>
      <c r="R51" s="30">
        <f>C51+SQRT(('Начальные условия и парам.'!$B$15+'Начальные условия и парам.'!$H$15)^2+('Начальные условия и парам.'!$K$15/2)^2)*SIN(RADIANS(J51-'Начальные условия и парам.'!$E$19))</f>
        <v>-2.2742598529204536</v>
      </c>
      <c r="T51" s="30">
        <f t="shared" si="3"/>
        <v>0.50999957299999998</v>
      </c>
      <c r="U51" s="30">
        <f>B51+SQRT(('Начальные условия и парам.'!$E$15)^2+('Начальные условия и парам.'!$K$15/2)^2)*COS(RADIANS(J51+PI()+'Начальные условия и парам.'!$H$19))</f>
        <v>11.476986554135518</v>
      </c>
      <c r="V51" s="30">
        <f>C51+SQRT(('Начальные условия и парам.'!$E$15)^2+('Начальные условия и парам.'!$K$15/2)^2)*SIN(RADIANS(J51+PI()+'Начальные условия и парам.'!$H$19))</f>
        <v>0.8045553731081484</v>
      </c>
      <c r="X51" s="30">
        <f t="shared" si="4"/>
        <v>0.50999957299999998</v>
      </c>
      <c r="Y51" s="30">
        <f>B51+SQRT(('Начальные условия и парам.'!$E$15)^2+('Начальные условия и парам.'!$K$15/2)^2)*COS(RADIANS(J51+PI()-'Начальные условия и парам.'!$H$19))</f>
        <v>10.896971476986778</v>
      </c>
      <c r="Z51" s="30">
        <f>C51+SQRT(('Начальные условия и парам.'!$E$15)^2+('Начальные условия и парам.'!$K$15/2)^2)*SIN(RADIANS(J51+PI()-'Начальные условия и парам.'!$H$19))</f>
        <v>-1.1094933489154419</v>
      </c>
    </row>
    <row r="52" spans="1:26" x14ac:dyDescent="0.25">
      <c r="A52" s="30">
        <f>'аксел-ры 1 и 2 и интегр-ие  '!M55</f>
        <v>0.51999944399999998</v>
      </c>
      <c r="B52" s="30">
        <f>'аксел-ры 1 и 2 и интегр-ие  '!P55</f>
        <v>8.463663294697179</v>
      </c>
      <c r="C52" s="30">
        <f>'аксел-ры 1 и 2 и интегр-ие  '!Y55</f>
        <v>0.69753045514602041</v>
      </c>
      <c r="D52" s="12"/>
      <c r="E52" s="30">
        <f>'аксел-ры 1 и 2 и интегр-ие  '!Q55</f>
        <v>0.51999944399999998</v>
      </c>
      <c r="F52" s="30">
        <f>'аксел-ры 1 и 2 и интегр-ие  '!T55</f>
        <v>10.343048536268997</v>
      </c>
      <c r="G52" s="30">
        <f>'аксел-ры 1 и 2 и интегр-ие  '!AC55</f>
        <v>1.3490168494682653E-2</v>
      </c>
      <c r="H52" s="12"/>
      <c r="I52" s="30">
        <f t="shared" si="0"/>
        <v>0.51999944399999998</v>
      </c>
      <c r="J52" s="30">
        <f>DEGREES(ASIN((G52-C52)/'Начальные условия и парам.'!$B$15))</f>
        <v>-20.000000000000011</v>
      </c>
      <c r="L52" s="30">
        <f t="shared" si="1"/>
        <v>0.51999944399999998</v>
      </c>
      <c r="M52" s="30">
        <f>B52+SQRT(('Начальные условия и парам.'!$B$15+'Начальные условия и парам.'!$H$15)^2+('Начальные условия и парам.'!$K$15/2)^2)*COS(RADIANS(J52+'Начальные условия и парам.'!$E$19))</f>
        <v>14.443839162738296</v>
      </c>
      <c r="N52" s="30">
        <f>C52+SQRT(('Начальные условия и парам.'!$B$15+'Начальные условия и парам.'!$H$15)^2+('Начальные условия и парам.'!$K$15/2)^2)*SIN(RADIANS(J52+'Начальные условия и парам.'!$E$19))</f>
        <v>-0.41489778402208466</v>
      </c>
      <c r="P52" s="30">
        <f t="shared" si="2"/>
        <v>0.51999944399999998</v>
      </c>
      <c r="Q52" s="30">
        <f>B52+SQRT(('Начальные условия и парам.'!$B$15+'Начальные условия и парам.'!$H$15)^2+('Начальные условия и парам.'!$K$15/2)^2)*COS(RADIANS(J52-'Начальные условия и парам.'!$E$19))</f>
        <v>13.759798876086961</v>
      </c>
      <c r="R52" s="30">
        <f>C52+SQRT(('Начальные условия и парам.'!$B$15+'Начальные условия и парам.'!$H$15)^2+('Начальные условия и парам.'!$K$15/2)^2)*SIN(RADIANS(J52-'Начальные условия и парам.'!$E$19))</f>
        <v>-2.2942830255939008</v>
      </c>
      <c r="T52" s="30">
        <f t="shared" si="3"/>
        <v>0.51999944399999998</v>
      </c>
      <c r="U52" s="30">
        <f>B52+SQRT(('Начальные условия и парам.'!$E$15)^2+('Начальные условия и парам.'!$K$15/2)^2)*COS(RADIANS(J52+PI()+'Начальные условия и парам.'!$H$19))</f>
        <v>11.624743916306935</v>
      </c>
      <c r="V52" s="30">
        <f>C52+SQRT(('Начальные условия и парам.'!$E$15)^2+('Начальные условия и парам.'!$K$15/2)^2)*SIN(RADIANS(J52+PI()+'Начальные условия и парам.'!$H$19))</f>
        <v>0.78453220043470173</v>
      </c>
      <c r="X52" s="30">
        <f t="shared" si="4"/>
        <v>0.51999944399999998</v>
      </c>
      <c r="Y52" s="30">
        <f>B52+SQRT(('Начальные условия и парам.'!$E$15)^2+('Начальные условия и парам.'!$K$15/2)^2)*COS(RADIANS(J52+PI()-'Начальные условия и парам.'!$H$19))</f>
        <v>11.044728839158193</v>
      </c>
      <c r="Z52" s="30">
        <f>C52+SQRT(('Начальные условия и парам.'!$E$15)^2+('Начальные условия и парам.'!$K$15/2)^2)*SIN(RADIANS(J52+PI()-'Начальные условия и парам.'!$H$19))</f>
        <v>-1.1295165215888883</v>
      </c>
    </row>
    <row r="53" spans="1:26" x14ac:dyDescent="0.25">
      <c r="A53" s="30">
        <f>'аксел-ры 1 и 2 и интегр-ие  '!M56</f>
        <v>0.529999793</v>
      </c>
      <c r="B53" s="30">
        <f>'аксел-ры 1 и 2 и интегр-ие  '!P56</f>
        <v>8.6113746895559586</v>
      </c>
      <c r="C53" s="30">
        <f>'аксел-ры 1 и 2 и интегр-ие  '!Y56</f>
        <v>0.67765398253577525</v>
      </c>
      <c r="D53" s="12"/>
      <c r="E53" s="30">
        <f>'аксел-ры 1 и 2 и интегр-ие  '!Q56</f>
        <v>0.529999793</v>
      </c>
      <c r="F53" s="30">
        <f>'аксел-ры 1 и 2 и интегр-ие  '!T56</f>
        <v>10.490759931127775</v>
      </c>
      <c r="G53" s="30">
        <f>'аксел-ры 1 и 2 и интегр-ие  '!AC56</f>
        <v>-6.3863041155625133E-3</v>
      </c>
      <c r="H53" s="12"/>
      <c r="I53" s="30">
        <f t="shared" si="0"/>
        <v>0.529999793</v>
      </c>
      <c r="J53" s="30">
        <f>DEGREES(ASIN((G53-C53)/'Начальные условия и парам.'!$B$15))</f>
        <v>-20.000000000000011</v>
      </c>
      <c r="L53" s="30">
        <f t="shared" si="1"/>
        <v>0.529999793</v>
      </c>
      <c r="M53" s="30">
        <f>B53+SQRT(('Начальные условия и парам.'!$B$15+'Начальные условия и парам.'!$H$15)^2+('Начальные условия и парам.'!$K$15/2)^2)*COS(RADIANS(J53+'Начальные условия и парам.'!$E$19))</f>
        <v>14.591550557597078</v>
      </c>
      <c r="N53" s="30">
        <f>C53+SQRT(('Начальные условия и парам.'!$B$15+'Начальные условия и парам.'!$H$15)^2+('Начальные условия и парам.'!$K$15/2)^2)*SIN(RADIANS(J53+'Начальные условия и парам.'!$E$19))</f>
        <v>-0.43477425663232983</v>
      </c>
      <c r="P53" s="30">
        <f t="shared" si="2"/>
        <v>0.529999793</v>
      </c>
      <c r="Q53" s="30">
        <f>B53+SQRT(('Начальные условия и парам.'!$B$15+'Начальные условия и парам.'!$H$15)^2+('Начальные условия и парам.'!$K$15/2)^2)*COS(RADIANS(J53-'Начальные условия и парам.'!$E$19))</f>
        <v>13.907510270945739</v>
      </c>
      <c r="R53" s="30">
        <f>C53+SQRT(('Начальные условия и парам.'!$B$15+'Начальные условия и парам.'!$H$15)^2+('Начальные условия и парам.'!$K$15/2)^2)*SIN(RADIANS(J53-'Начальные условия и парам.'!$E$19))</f>
        <v>-2.314159498204146</v>
      </c>
      <c r="T53" s="30">
        <f t="shared" si="3"/>
        <v>0.529999793</v>
      </c>
      <c r="U53" s="30">
        <f>B53+SQRT(('Начальные условия и парам.'!$E$15)^2+('Начальные условия и парам.'!$K$15/2)^2)*COS(RADIANS(J53+PI()+'Начальные условия и парам.'!$H$19))</f>
        <v>11.772455311165714</v>
      </c>
      <c r="V53" s="30">
        <f>C53+SQRT(('Начальные условия и парам.'!$E$15)^2+('Начальные условия и парам.'!$K$15/2)^2)*SIN(RADIANS(J53+PI()+'Начальные условия и парам.'!$H$19))</f>
        <v>0.76465572782445657</v>
      </c>
      <c r="X53" s="30">
        <f t="shared" si="4"/>
        <v>0.529999793</v>
      </c>
      <c r="Y53" s="30">
        <f>B53+SQRT(('Начальные условия и парам.'!$E$15)^2+('Начальные условия и парам.'!$K$15/2)^2)*COS(RADIANS(J53+PI()-'Начальные условия и парам.'!$H$19))</f>
        <v>11.192440234016972</v>
      </c>
      <c r="Z53" s="30">
        <f>C53+SQRT(('Начальные условия и парам.'!$E$15)^2+('Начальные условия и парам.'!$K$15/2)^2)*SIN(RADIANS(J53+PI()-'Начальные условия и парам.'!$H$19))</f>
        <v>-1.1493929941991334</v>
      </c>
    </row>
    <row r="54" spans="1:26" x14ac:dyDescent="0.25">
      <c r="A54" s="30">
        <f>'аксел-ры 1 и 2 и интегр-ие  '!M57</f>
        <v>0.53999966399999999</v>
      </c>
      <c r="B54" s="30">
        <f>'аксел-ры 1 и 2 и интегр-ие  '!P57</f>
        <v>8.7592563383454305</v>
      </c>
      <c r="C54" s="30">
        <f>'аксел-ры 1 и 2 и интегр-ие  '!Y57</f>
        <v>0.65832874893084359</v>
      </c>
      <c r="D54" s="12"/>
      <c r="E54" s="30">
        <f>'аксел-ры 1 и 2 и интегр-ие  '!Q57</f>
        <v>0.53999966399999999</v>
      </c>
      <c r="F54" s="30">
        <f>'аксел-ры 1 и 2 и интегр-ие  '!T57</f>
        <v>10.638641579917248</v>
      </c>
      <c r="G54" s="30">
        <f>'аксел-ры 1 и 2 и интегр-ие  '!AC57</f>
        <v>-2.5711537720493727E-2</v>
      </c>
      <c r="H54" s="12"/>
      <c r="I54" s="30">
        <f t="shared" si="0"/>
        <v>0.53999966399999999</v>
      </c>
      <c r="J54" s="30">
        <f>DEGREES(ASIN((G54-C54)/'Начальные условия и парам.'!$B$15))</f>
        <v>-19.999999999999996</v>
      </c>
      <c r="L54" s="30">
        <f t="shared" si="1"/>
        <v>0.53999966399999999</v>
      </c>
      <c r="M54" s="30">
        <f>B54+SQRT(('Начальные условия и парам.'!$B$15+'Начальные условия и парам.'!$H$15)^2+('Начальные условия и парам.'!$K$15/2)^2)*COS(RADIANS(J54+'Начальные условия и парам.'!$E$19))</f>
        <v>14.739432206386549</v>
      </c>
      <c r="N54" s="30">
        <f>C54+SQRT(('Начальные условия и парам.'!$B$15+'Начальные условия и парам.'!$H$15)^2+('Начальные условия и парам.'!$K$15/2)^2)*SIN(RADIANS(J54+'Начальные условия и парам.'!$E$19))</f>
        <v>-0.45409949023726015</v>
      </c>
      <c r="P54" s="30">
        <f t="shared" si="2"/>
        <v>0.53999966399999999</v>
      </c>
      <c r="Q54" s="30">
        <f>B54+SQRT(('Начальные условия и парам.'!$B$15+'Начальные условия и парам.'!$H$15)^2+('Начальные условия и парам.'!$K$15/2)^2)*COS(RADIANS(J54-'Начальные условия и парам.'!$E$19))</f>
        <v>14.055391919735211</v>
      </c>
      <c r="R54" s="30">
        <f>C54+SQRT(('Начальные условия и парам.'!$B$15+'Начальные условия и парам.'!$H$15)^2+('Начальные условия и парам.'!$K$15/2)^2)*SIN(RADIANS(J54-'Начальные условия и парам.'!$E$19))</f>
        <v>-2.3334847318090763</v>
      </c>
      <c r="T54" s="30">
        <f t="shared" si="3"/>
        <v>0.53999966399999999</v>
      </c>
      <c r="U54" s="30">
        <f>B54+SQRT(('Начальные условия и парам.'!$E$15)^2+('Начальные условия и парам.'!$K$15/2)^2)*COS(RADIANS(J54+PI()+'Начальные условия и парам.'!$H$19))</f>
        <v>11.920336959955186</v>
      </c>
      <c r="V54" s="30">
        <f>C54+SQRT(('Начальные условия и парам.'!$E$15)^2+('Начальные условия и парам.'!$K$15/2)^2)*SIN(RADIANS(J54+PI()+'Начальные условия и парам.'!$H$19))</f>
        <v>0.74533049421952569</v>
      </c>
      <c r="X54" s="30">
        <f t="shared" si="4"/>
        <v>0.53999966399999999</v>
      </c>
      <c r="Y54" s="30">
        <f>B54+SQRT(('Начальные условия и парам.'!$E$15)^2+('Начальные условия и парам.'!$K$15/2)^2)*COS(RADIANS(J54+PI()-'Начальные условия и парам.'!$H$19))</f>
        <v>11.340321882806446</v>
      </c>
      <c r="Z54" s="30">
        <f>C54+SQRT(('Начальные условия и парам.'!$E$15)^2+('Начальные условия и парам.'!$K$15/2)^2)*SIN(RADIANS(J54+PI()-'Начальные условия и парам.'!$H$19))</f>
        <v>-1.1687182278040646</v>
      </c>
    </row>
    <row r="55" spans="1:26" x14ac:dyDescent="0.25">
      <c r="A55" s="30">
        <f>'аксел-ры 1 и 2 и интегр-ие  '!M58</f>
        <v>0.54999953499999998</v>
      </c>
      <c r="B55" s="30">
        <f>'аксел-ры 1 и 2 и интегр-ие  '!P58</f>
        <v>8.9071456962413791</v>
      </c>
      <c r="C55" s="30">
        <f>'аксел-ры 1 и 2 и интегр-ие  '!Y58</f>
        <v>0.63996726733981291</v>
      </c>
      <c r="D55" s="12"/>
      <c r="E55" s="30">
        <f>'аксел-ры 1 и 2 и интегр-ие  '!Q58</f>
        <v>0.54999953499999998</v>
      </c>
      <c r="F55" s="30">
        <f>'аксел-ры 1 и 2 и интегр-ие  '!T58</f>
        <v>10.786530937813197</v>
      </c>
      <c r="G55" s="30">
        <f>'аксел-ры 1 и 2 и интегр-ие  '!AC58</f>
        <v>-4.4073019311523964E-2</v>
      </c>
      <c r="H55" s="12"/>
      <c r="I55" s="30">
        <f t="shared" si="0"/>
        <v>0.54999953499999998</v>
      </c>
      <c r="J55" s="30">
        <f>DEGREES(ASIN((G55-C55)/'Начальные условия и парам.'!$B$15))</f>
        <v>-19.999999999999982</v>
      </c>
      <c r="L55" s="30">
        <f t="shared" si="1"/>
        <v>0.54999953499999998</v>
      </c>
      <c r="M55" s="30">
        <f>B55+SQRT(('Начальные условия и парам.'!$B$15+'Начальные условия и парам.'!$H$15)^2+('Начальные условия и парам.'!$K$15/2)^2)*COS(RADIANS(J55+'Начальные условия и парам.'!$E$19))</f>
        <v>14.887321564282498</v>
      </c>
      <c r="N55" s="30">
        <f>C55+SQRT(('Начальные условия и парам.'!$B$15+'Начальные условия и парам.'!$H$15)^2+('Начальные условия и парам.'!$K$15/2)^2)*SIN(RADIANS(J55+'Начальные условия и парам.'!$E$19))</f>
        <v>-0.47246097182828928</v>
      </c>
      <c r="P55" s="30">
        <f t="shared" si="2"/>
        <v>0.54999953499999998</v>
      </c>
      <c r="Q55" s="30">
        <f>B55+SQRT(('Начальные условия и парам.'!$B$15+'Начальные условия и парам.'!$H$15)^2+('Начальные условия и парам.'!$K$15/2)^2)*COS(RADIANS(J55-'Начальные условия и парам.'!$E$19))</f>
        <v>14.203281277631161</v>
      </c>
      <c r="R55" s="30">
        <f>C55+SQRT(('Начальные условия и парам.'!$B$15+'Начальные условия и парам.'!$H$15)^2+('Начальные условия и парам.'!$K$15/2)^2)*SIN(RADIANS(J55-'Начальные условия и парам.'!$E$19))</f>
        <v>-2.3518462134001057</v>
      </c>
      <c r="T55" s="30">
        <f t="shared" si="3"/>
        <v>0.54999953499999998</v>
      </c>
      <c r="U55" s="30">
        <f>B55+SQRT(('Начальные условия и парам.'!$E$15)^2+('Начальные условия и парам.'!$K$15/2)^2)*COS(RADIANS(J55+PI()+'Начальные условия и парам.'!$H$19))</f>
        <v>12.068226317851135</v>
      </c>
      <c r="V55" s="30">
        <f>C55+SQRT(('Начальные условия и парам.'!$E$15)^2+('Начальные условия и парам.'!$K$15/2)^2)*SIN(RADIANS(J55+PI()+'Начальные условия и парам.'!$H$19))</f>
        <v>0.72696901262849578</v>
      </c>
      <c r="X55" s="30">
        <f t="shared" si="4"/>
        <v>0.54999953499999998</v>
      </c>
      <c r="Y55" s="30">
        <f>B55+SQRT(('Начальные условия и парам.'!$E$15)^2+('Начальные условия и парам.'!$K$15/2)^2)*COS(RADIANS(J55+PI()-'Начальные условия и парам.'!$H$19))</f>
        <v>11.488211240702395</v>
      </c>
      <c r="Z55" s="30">
        <f>C55+SQRT(('Начальные условия и парам.'!$E$15)^2+('Начальные условия и парам.'!$K$15/2)^2)*SIN(RADIANS(J55+PI()-'Начальные условия и парам.'!$H$19))</f>
        <v>-1.1870797093950944</v>
      </c>
    </row>
    <row r="56" spans="1:26" x14ac:dyDescent="0.25">
      <c r="A56" s="30">
        <f>'аксел-ры 1 и 2 и интегр-ие  '!M59</f>
        <v>0.55999940599999998</v>
      </c>
      <c r="B56" s="30">
        <f>'аксел-ры 1 и 2 и интегр-ие  '!P59</f>
        <v>9.0546111371543265</v>
      </c>
      <c r="C56" s="30">
        <f>'аксел-ры 1 и 2 и интегр-ие  '!Y59</f>
        <v>0.62261813163473212</v>
      </c>
      <c r="D56" s="12"/>
      <c r="E56" s="30">
        <f>'аксел-ры 1 и 2 и интегр-ие  '!Q59</f>
        <v>0.55999940599999998</v>
      </c>
      <c r="F56" s="30">
        <f>'аксел-ры 1 и 2 и интегр-ие  '!T59</f>
        <v>10.933996378726144</v>
      </c>
      <c r="G56" s="30">
        <f>'аксел-ры 1 и 2 и интегр-ие  '!AC59</f>
        <v>-6.142215501660564E-2</v>
      </c>
      <c r="H56" s="12"/>
      <c r="I56" s="30">
        <f t="shared" si="0"/>
        <v>0.55999940599999998</v>
      </c>
      <c r="J56" s="30">
        <f>DEGREES(ASIN((G56-C56)/'Начальные условия и парам.'!$B$15))</f>
        <v>-20.000000000000011</v>
      </c>
      <c r="L56" s="30">
        <f t="shared" si="1"/>
        <v>0.55999940599999998</v>
      </c>
      <c r="M56" s="30">
        <f>B56+SQRT(('Начальные условия и парам.'!$B$15+'Начальные условия и парам.'!$H$15)^2+('Начальные условия и парам.'!$K$15/2)^2)*COS(RADIANS(J56+'Начальные условия и парам.'!$E$19))</f>
        <v>15.034787005195444</v>
      </c>
      <c r="N56" s="30">
        <f>C56+SQRT(('Начальные условия и парам.'!$B$15+'Начальные условия и парам.'!$H$15)^2+('Начальные условия и парам.'!$K$15/2)^2)*SIN(RADIANS(J56+'Начальные условия и парам.'!$E$19))</f>
        <v>-0.48981010753337295</v>
      </c>
      <c r="P56" s="30">
        <f t="shared" si="2"/>
        <v>0.55999940599999998</v>
      </c>
      <c r="Q56" s="30">
        <f>B56+SQRT(('Начальные условия и парам.'!$B$15+'Начальные условия и парам.'!$H$15)^2+('Начальные условия и парам.'!$K$15/2)^2)*COS(RADIANS(J56-'Начальные условия и парам.'!$E$19))</f>
        <v>14.350746718544109</v>
      </c>
      <c r="R56" s="30">
        <f>C56+SQRT(('Начальные условия и парам.'!$B$15+'Начальные условия и парам.'!$H$15)^2+('Начальные условия и парам.'!$K$15/2)^2)*SIN(RADIANS(J56-'Начальные условия и парам.'!$E$19))</f>
        <v>-2.3691953491051891</v>
      </c>
      <c r="T56" s="30">
        <f t="shared" si="3"/>
        <v>0.55999940599999998</v>
      </c>
      <c r="U56" s="30">
        <f>B56+SQRT(('Начальные условия и парам.'!$E$15)^2+('Начальные условия и парам.'!$K$15/2)^2)*COS(RADIANS(J56+PI()+'Начальные условия и парам.'!$H$19))</f>
        <v>12.215691758764082</v>
      </c>
      <c r="V56" s="30">
        <f>C56+SQRT(('Начальные условия и парам.'!$E$15)^2+('Начальные условия и парам.'!$K$15/2)^2)*SIN(RADIANS(J56+PI()+'Начальные условия и парам.'!$H$19))</f>
        <v>0.70961987692341344</v>
      </c>
      <c r="X56" s="30">
        <f t="shared" si="4"/>
        <v>0.55999940599999998</v>
      </c>
      <c r="Y56" s="30">
        <f>B56+SQRT(('Начальные условия и парам.'!$E$15)^2+('Начальные условия и парам.'!$K$15/2)^2)*COS(RADIANS(J56+PI()-'Начальные условия и парам.'!$H$19))</f>
        <v>11.63567668161534</v>
      </c>
      <c r="Z56" s="30">
        <f>C56+SQRT(('Начальные условия и парам.'!$E$15)^2+('Начальные условия и парам.'!$K$15/2)^2)*SIN(RADIANS(J56+PI()-'Начальные условия и парам.'!$H$19))</f>
        <v>-1.2044288451001766</v>
      </c>
    </row>
    <row r="57" spans="1:26" x14ac:dyDescent="0.25">
      <c r="A57" s="30">
        <f>'аксел-ры 1 и 2 и интегр-ие  '!M60</f>
        <v>0.56999975400000003</v>
      </c>
      <c r="B57" s="30">
        <f>'аксел-ры 1 и 2 и интегр-ие  '!P60</f>
        <v>9.2014023663433182</v>
      </c>
      <c r="C57" s="30">
        <f>'аксел-ры 1 и 2 и интегр-ие  '!Y60</f>
        <v>0.60603926330782798</v>
      </c>
      <c r="D57" s="12"/>
      <c r="E57" s="30">
        <f>'аксел-ры 1 и 2 и интегр-ие  '!Q60</f>
        <v>0.56999975400000003</v>
      </c>
      <c r="F57" s="30">
        <f>'аксел-ры 1 и 2 и интегр-ие  '!T60</f>
        <v>11.080787607915134</v>
      </c>
      <c r="G57" s="30">
        <f>'аксел-ры 1 и 2 и интегр-ие  '!AC60</f>
        <v>-7.8001023343508891E-2</v>
      </c>
      <c r="H57" s="12"/>
      <c r="I57" s="30">
        <f t="shared" si="0"/>
        <v>0.56999975400000003</v>
      </c>
      <c r="J57" s="30">
        <f>DEGREES(ASIN((G57-C57)/'Начальные условия и парам.'!$B$15))</f>
        <v>-19.999999999999982</v>
      </c>
      <c r="L57" s="30">
        <f t="shared" si="1"/>
        <v>0.56999975400000003</v>
      </c>
      <c r="M57" s="30">
        <f>B57+SQRT(('Начальные условия и парам.'!$B$15+'Начальные условия и парам.'!$H$15)^2+('Начальные условия и парам.'!$K$15/2)^2)*COS(RADIANS(J57+'Начальные условия и парам.'!$E$19))</f>
        <v>15.181578234384437</v>
      </c>
      <c r="N57" s="30">
        <f>C57+SQRT(('Начальные условия и парам.'!$B$15+'Начальные условия и парам.'!$H$15)^2+('Начальные условия и парам.'!$K$15/2)^2)*SIN(RADIANS(J57+'Начальные условия и парам.'!$E$19))</f>
        <v>-0.5063889758602742</v>
      </c>
      <c r="P57" s="30">
        <f t="shared" si="2"/>
        <v>0.56999975400000003</v>
      </c>
      <c r="Q57" s="30">
        <f>B57+SQRT(('Начальные условия и парам.'!$B$15+'Начальные условия и парам.'!$H$15)^2+('Начальные условия и парам.'!$K$15/2)^2)*COS(RADIANS(J57-'Начальные условия и парам.'!$E$19))</f>
        <v>14.4975379477331</v>
      </c>
      <c r="R57" s="30">
        <f>C57+SQRT(('Начальные условия и парам.'!$B$15+'Начальные условия и парам.'!$H$15)^2+('Начальные условия и парам.'!$K$15/2)^2)*SIN(RADIANS(J57-'Начальные условия и парам.'!$E$19))</f>
        <v>-2.3857742174320906</v>
      </c>
      <c r="T57" s="30">
        <f t="shared" si="3"/>
        <v>0.56999975400000003</v>
      </c>
      <c r="U57" s="30">
        <f>B57+SQRT(('Начальные условия и парам.'!$E$15)^2+('Начальные условия и парам.'!$K$15/2)^2)*COS(RADIANS(J57+PI()+'Начальные условия и парам.'!$H$19))</f>
        <v>12.362482987953074</v>
      </c>
      <c r="V57" s="30">
        <f>C57+SQRT(('Начальные условия и парам.'!$E$15)^2+('Начальные условия и парам.'!$K$15/2)^2)*SIN(RADIANS(J57+PI()+'Начальные условия и парам.'!$H$19))</f>
        <v>0.69304100859651085</v>
      </c>
      <c r="X57" s="30">
        <f t="shared" si="4"/>
        <v>0.56999975400000003</v>
      </c>
      <c r="Y57" s="30">
        <f>B57+SQRT(('Начальные условия и парам.'!$E$15)^2+('Начальные условия и парам.'!$K$15/2)^2)*COS(RADIANS(J57+PI()-'Начальные условия и парам.'!$H$19))</f>
        <v>11.782467910804334</v>
      </c>
      <c r="Z57" s="30">
        <f>C57+SQRT(('Начальные условия и парам.'!$E$15)^2+('Начальные условия и парам.'!$K$15/2)^2)*SIN(RADIANS(J57+PI()-'Начальные условия и парам.'!$H$19))</f>
        <v>-1.2210077134270794</v>
      </c>
    </row>
    <row r="58" spans="1:26" x14ac:dyDescent="0.25">
      <c r="A58" s="30">
        <f>'аксел-ры 1 и 2 и интегр-ие  '!M61</f>
        <v>0.57999962599999999</v>
      </c>
      <c r="B58" s="30">
        <f>'аксел-ры 1 и 2 и интегр-ие  '!P61</f>
        <v>9.34765288151074</v>
      </c>
      <c r="C58" s="30">
        <f>'аксел-ры 1 и 2 и интегр-ие  '!Y61</f>
        <v>0.59014730498969836</v>
      </c>
      <c r="D58" s="12"/>
      <c r="E58" s="30">
        <f>'аксел-ры 1 и 2 и интегр-ие  '!Q61</f>
        <v>0.57999962599999999</v>
      </c>
      <c r="F58" s="30">
        <f>'аксел-ры 1 и 2 и интегр-ие  '!T61</f>
        <v>11.227038123082556</v>
      </c>
      <c r="G58" s="30">
        <f>'аксел-ры 1 и 2 и интегр-ие  '!AC61</f>
        <v>-9.3892981661639396E-2</v>
      </c>
      <c r="H58" s="12"/>
      <c r="I58" s="30">
        <f t="shared" si="0"/>
        <v>0.57999962599999999</v>
      </c>
      <c r="J58" s="30">
        <f>DEGREES(ASIN((G58-C58)/'Начальные условия и парам.'!$B$15))</f>
        <v>-20.000000000000011</v>
      </c>
      <c r="L58" s="30">
        <f t="shared" si="1"/>
        <v>0.57999962599999999</v>
      </c>
      <c r="M58" s="30">
        <f>B58+SQRT(('Начальные условия и парам.'!$B$15+'Начальные условия и парам.'!$H$15)^2+('Начальные условия и парам.'!$K$15/2)^2)*COS(RADIANS(J58+'Начальные условия и парам.'!$E$19))</f>
        <v>15.327828749551859</v>
      </c>
      <c r="N58" s="30">
        <f>C58+SQRT(('Начальные условия и парам.'!$B$15+'Начальные условия и парам.'!$H$15)^2+('Начальные условия и парам.'!$K$15/2)^2)*SIN(RADIANS(J58+'Начальные условия и парам.'!$E$19))</f>
        <v>-0.52228093417840671</v>
      </c>
      <c r="P58" s="30">
        <f t="shared" si="2"/>
        <v>0.57999962599999999</v>
      </c>
      <c r="Q58" s="30">
        <f>B58+SQRT(('Начальные условия и парам.'!$B$15+'Начальные условия и парам.'!$H$15)^2+('Начальные условия и парам.'!$K$15/2)^2)*COS(RADIANS(J58-'Начальные условия и парам.'!$E$19))</f>
        <v>14.64378846290052</v>
      </c>
      <c r="R58" s="30">
        <f>C58+SQRT(('Начальные условия и парам.'!$B$15+'Начальные условия и парам.'!$H$15)^2+('Начальные условия и парам.'!$K$15/2)^2)*SIN(RADIANS(J58-'Начальные условия и парам.'!$E$19))</f>
        <v>-2.4016661757502229</v>
      </c>
      <c r="T58" s="30">
        <f t="shared" si="3"/>
        <v>0.57999962599999999</v>
      </c>
      <c r="U58" s="30">
        <f>B58+SQRT(('Начальные условия и парам.'!$E$15)^2+('Начальные условия и парам.'!$K$15/2)^2)*COS(RADIANS(J58+PI()+'Начальные условия и парам.'!$H$19))</f>
        <v>12.508733503120496</v>
      </c>
      <c r="V58" s="30">
        <f>C58+SQRT(('Начальные условия и парам.'!$E$15)^2+('Начальные условия и парам.'!$K$15/2)^2)*SIN(RADIANS(J58+PI()+'Начальные условия и парам.'!$H$19))</f>
        <v>0.67714905027837968</v>
      </c>
      <c r="X58" s="30">
        <f t="shared" si="4"/>
        <v>0.57999962599999999</v>
      </c>
      <c r="Y58" s="30">
        <f>B58+SQRT(('Начальные условия и парам.'!$E$15)^2+('Начальные условия и парам.'!$K$15/2)^2)*COS(RADIANS(J58+PI()-'Начальные условия и парам.'!$H$19))</f>
        <v>11.928718425971754</v>
      </c>
      <c r="Z58" s="30">
        <f>C58+SQRT(('Начальные условия и парам.'!$E$15)^2+('Начальные условия и парам.'!$K$15/2)^2)*SIN(RADIANS(J58+PI()-'Начальные условия и парам.'!$H$19))</f>
        <v>-1.2368996717452103</v>
      </c>
    </row>
    <row r="59" spans="1:26" x14ac:dyDescent="0.25">
      <c r="A59" s="30">
        <f>'аксел-ры 1 и 2 и интегр-ие  '!M62</f>
        <v>0.58999949699999998</v>
      </c>
      <c r="B59" s="30">
        <f>'аксел-ры 1 и 2 и интегр-ие  '!P62</f>
        <v>9.4936399546960129</v>
      </c>
      <c r="C59" s="30">
        <f>'аксел-ры 1 и 2 и интегр-ие  '!Y62</f>
        <v>0.57505271851546791</v>
      </c>
      <c r="D59" s="12"/>
      <c r="E59" s="30">
        <f>'аксел-ры 1 и 2 и интегр-ие  '!Q62</f>
        <v>0.58999949699999998</v>
      </c>
      <c r="F59" s="30">
        <f>'аксел-ры 1 и 2 и интегр-ие  '!T62</f>
        <v>11.373025196267829</v>
      </c>
      <c r="G59" s="30">
        <f>'аксел-ры 1 и 2 и интегр-ие  '!AC62</f>
        <v>-0.10898756813586985</v>
      </c>
      <c r="H59" s="12"/>
      <c r="I59" s="30">
        <f t="shared" si="0"/>
        <v>0.58999949699999998</v>
      </c>
      <c r="J59" s="30">
        <f>DEGREES(ASIN((G59-C59)/'Начальные условия и парам.'!$B$15))</f>
        <v>-20.000000000000011</v>
      </c>
      <c r="L59" s="30">
        <f t="shared" si="1"/>
        <v>0.58999949699999998</v>
      </c>
      <c r="M59" s="30">
        <f>B59+SQRT(('Начальные условия и парам.'!$B$15+'Начальные условия и парам.'!$H$15)^2+('Начальные условия и парам.'!$K$15/2)^2)*COS(RADIANS(J59+'Начальные условия и парам.'!$E$19))</f>
        <v>15.47381582273713</v>
      </c>
      <c r="N59" s="30">
        <f>C59+SQRT(('Начальные условия и парам.'!$B$15+'Начальные условия и парам.'!$H$15)^2+('Начальные условия и парам.'!$K$15/2)^2)*SIN(RADIANS(J59+'Начальные условия и парам.'!$E$19))</f>
        <v>-0.53737552065263716</v>
      </c>
      <c r="P59" s="30">
        <f t="shared" si="2"/>
        <v>0.58999949699999998</v>
      </c>
      <c r="Q59" s="30">
        <f>B59+SQRT(('Начальные условия и парам.'!$B$15+'Начальные условия и парам.'!$H$15)^2+('Начальные условия и парам.'!$K$15/2)^2)*COS(RADIANS(J59-'Начальные условия и парам.'!$E$19))</f>
        <v>14.789775536085795</v>
      </c>
      <c r="R59" s="30">
        <f>C59+SQRT(('Начальные условия и парам.'!$B$15+'Начальные условия и парам.'!$H$15)^2+('Начальные условия и парам.'!$K$15/2)^2)*SIN(RADIANS(J59-'Начальные условия и парам.'!$E$19))</f>
        <v>-2.4167607622244534</v>
      </c>
      <c r="T59" s="30">
        <f t="shared" si="3"/>
        <v>0.58999949699999998</v>
      </c>
      <c r="U59" s="30">
        <f>B59+SQRT(('Начальные условия и парам.'!$E$15)^2+('Начальные условия и парам.'!$K$15/2)^2)*COS(RADIANS(J59+PI()+'Начальные условия и парам.'!$H$19))</f>
        <v>12.654720576305769</v>
      </c>
      <c r="V59" s="30">
        <f>C59+SQRT(('Начальные условия и парам.'!$E$15)^2+('Начальные условия и парам.'!$K$15/2)^2)*SIN(RADIANS(J59+PI()+'Начальные условия и парам.'!$H$19))</f>
        <v>0.66205446380414923</v>
      </c>
      <c r="X59" s="30">
        <f t="shared" si="4"/>
        <v>0.58999949699999998</v>
      </c>
      <c r="Y59" s="30">
        <f>B59+SQRT(('Начальные условия и парам.'!$E$15)^2+('Начальные условия и парам.'!$K$15/2)^2)*COS(RADIANS(J59+PI()-'Начальные условия и парам.'!$H$19))</f>
        <v>12.074705499157027</v>
      </c>
      <c r="Z59" s="30">
        <f>C59+SQRT(('Начальные условия и парам.'!$E$15)^2+('Начальные условия и парам.'!$K$15/2)^2)*SIN(RADIANS(J59+PI()-'Начальные условия и парам.'!$H$19))</f>
        <v>-1.2519942582194408</v>
      </c>
    </row>
    <row r="60" spans="1:26" x14ac:dyDescent="0.25">
      <c r="A60" s="30">
        <f>'аксел-ры 1 и 2 и интегр-ие  '!M63</f>
        <v>0.59999936799999998</v>
      </c>
      <c r="B60" s="30">
        <f>'аксел-ры 1 и 2 и интегр-ие  '!P63</f>
        <v>9.6393705052036847</v>
      </c>
      <c r="C60" s="30">
        <f>'аксел-ры 1 и 2 и интегр-ие  '!Y63</f>
        <v>0.56069401127098617</v>
      </c>
      <c r="D60" s="12"/>
      <c r="E60" s="30">
        <f>'аксел-ры 1 и 2 и интегр-ие  '!Q63</f>
        <v>0.59999936799999998</v>
      </c>
      <c r="F60" s="30">
        <f>'аксел-ры 1 и 2 и интегр-ие  '!T63</f>
        <v>11.518755746775502</v>
      </c>
      <c r="G60" s="30">
        <f>'аксел-ры 1 и 2 и интегр-ие  '!AC63</f>
        <v>-0.12334627538035114</v>
      </c>
      <c r="H60" s="12"/>
      <c r="I60" s="30">
        <f t="shared" si="0"/>
        <v>0.59999936799999998</v>
      </c>
      <c r="J60" s="30">
        <f>DEGREES(ASIN((G60-C60)/'Начальные условия и парам.'!$B$15))</f>
        <v>-19.999999999999996</v>
      </c>
      <c r="L60" s="30">
        <f t="shared" si="1"/>
        <v>0.59999936799999998</v>
      </c>
      <c r="M60" s="30">
        <f>B60+SQRT(('Начальные условия и парам.'!$B$15+'Начальные условия и парам.'!$H$15)^2+('Начальные условия и парам.'!$K$15/2)^2)*COS(RADIANS(J60+'Начальные условия и парам.'!$E$19))</f>
        <v>15.619546373244804</v>
      </c>
      <c r="N60" s="30">
        <f>C60+SQRT(('Начальные условия и парам.'!$B$15+'Начальные условия и парам.'!$H$15)^2+('Начальные условия и парам.'!$K$15/2)^2)*SIN(RADIANS(J60+'Начальные условия и парам.'!$E$19))</f>
        <v>-0.55173422789711757</v>
      </c>
      <c r="P60" s="30">
        <f t="shared" si="2"/>
        <v>0.59999936799999998</v>
      </c>
      <c r="Q60" s="30">
        <f>B60+SQRT(('Начальные условия и парам.'!$B$15+'Начальные условия и парам.'!$H$15)^2+('Начальные условия и парам.'!$K$15/2)^2)*COS(RADIANS(J60-'Начальные условия и парам.'!$E$19))</f>
        <v>14.935506086593467</v>
      </c>
      <c r="R60" s="30">
        <f>C60+SQRT(('Начальные условия и парам.'!$B$15+'Начальные условия и парам.'!$H$15)^2+('Начальные условия и парам.'!$K$15/2)^2)*SIN(RADIANS(J60-'Начальные условия и парам.'!$E$19))</f>
        <v>-2.4311194694689338</v>
      </c>
      <c r="T60" s="30">
        <f t="shared" si="3"/>
        <v>0.59999936799999998</v>
      </c>
      <c r="U60" s="30">
        <f>B60+SQRT(('Начальные условия и парам.'!$E$15)^2+('Начальные условия и парам.'!$K$15/2)^2)*COS(RADIANS(J60+PI()+'Начальные условия и парам.'!$H$19))</f>
        <v>12.80045112681344</v>
      </c>
      <c r="V60" s="30">
        <f>C60+SQRT(('Начальные условия и парам.'!$E$15)^2+('Начальные условия и парам.'!$K$15/2)^2)*SIN(RADIANS(J60+PI()+'Начальные условия и парам.'!$H$19))</f>
        <v>0.64769575655966827</v>
      </c>
      <c r="X60" s="30">
        <f t="shared" si="4"/>
        <v>0.59999936799999998</v>
      </c>
      <c r="Y60" s="30">
        <f>B60+SQRT(('Начальные условия и парам.'!$E$15)^2+('Начальные условия и парам.'!$K$15/2)^2)*COS(RADIANS(J60+PI()-'Начальные условия и парам.'!$H$19))</f>
        <v>12.220436049664698</v>
      </c>
      <c r="Z60" s="30">
        <f>C60+SQRT(('Начальные условия и парам.'!$E$15)^2+('Начальные условия и парам.'!$K$15/2)^2)*SIN(RADIANS(J60+PI()-'Начальные условия и парам.'!$H$19))</f>
        <v>-1.2663529654639221</v>
      </c>
    </row>
    <row r="61" spans="1:26" x14ac:dyDescent="0.25">
      <c r="A61" s="30">
        <f>'аксел-ры 1 и 2 и интегр-ие  '!M64</f>
        <v>0.60999971600000003</v>
      </c>
      <c r="B61" s="30">
        <f>'аксел-ры 1 и 2 и интегр-ие  '!P64</f>
        <v>9.7845819142388759</v>
      </c>
      <c r="C61" s="30">
        <f>'аксел-ры 1 и 2 и интегр-ие  '!Y64</f>
        <v>0.54674000147225055</v>
      </c>
      <c r="D61" s="12"/>
      <c r="E61" s="30">
        <f>'аксел-ры 1 и 2 и интегр-ие  '!Q64</f>
        <v>0.60999971600000003</v>
      </c>
      <c r="F61" s="30">
        <f>'аксел-ры 1 и 2 и интегр-ие  '!T64</f>
        <v>11.663967155810692</v>
      </c>
      <c r="G61" s="30">
        <f>'аксел-ры 1 и 2 и интегр-ие  '!AC64</f>
        <v>-0.13730028517908721</v>
      </c>
      <c r="H61" s="12"/>
      <c r="I61" s="30">
        <f t="shared" si="0"/>
        <v>0.60999971600000003</v>
      </c>
      <c r="J61" s="30">
        <f>DEGREES(ASIN((G61-C61)/'Начальные условия и парам.'!$B$15))</f>
        <v>-20.000000000000011</v>
      </c>
      <c r="L61" s="30">
        <f t="shared" si="1"/>
        <v>0.60999971600000003</v>
      </c>
      <c r="M61" s="30">
        <f>B61+SQRT(('Начальные условия и парам.'!$B$15+'Начальные условия и парам.'!$H$15)^2+('Начальные условия и парам.'!$K$15/2)^2)*COS(RADIANS(J61+'Начальные условия и парам.'!$E$19))</f>
        <v>15.764757782279993</v>
      </c>
      <c r="N61" s="30">
        <f>C61+SQRT(('Начальные условия и парам.'!$B$15+'Начальные условия и парам.'!$H$15)^2+('Начальные условия и парам.'!$K$15/2)^2)*SIN(RADIANS(J61+'Начальные условия и парам.'!$E$19))</f>
        <v>-0.56568823769585452</v>
      </c>
      <c r="P61" s="30">
        <f t="shared" si="2"/>
        <v>0.60999971600000003</v>
      </c>
      <c r="Q61" s="30">
        <f>B61+SQRT(('Начальные условия и парам.'!$B$15+'Начальные условия и парам.'!$H$15)^2+('Начальные условия и парам.'!$K$15/2)^2)*COS(RADIANS(J61-'Начальные условия и парам.'!$E$19))</f>
        <v>15.080717495628658</v>
      </c>
      <c r="R61" s="30">
        <f>C61+SQRT(('Начальные условия и парам.'!$B$15+'Начальные условия и парам.'!$H$15)^2+('Начальные условия и парам.'!$K$15/2)^2)*SIN(RADIANS(J61-'Начальные условия и парам.'!$E$19))</f>
        <v>-2.4450734792676707</v>
      </c>
      <c r="T61" s="30">
        <f t="shared" si="3"/>
        <v>0.60999971600000003</v>
      </c>
      <c r="U61" s="30">
        <f>B61+SQRT(('Начальные условия и парам.'!$E$15)^2+('Начальные условия и парам.'!$K$15/2)^2)*COS(RADIANS(J61+PI()+'Начальные условия и парам.'!$H$19))</f>
        <v>12.945662535848632</v>
      </c>
      <c r="V61" s="30">
        <f>C61+SQRT(('Начальные условия и парам.'!$E$15)^2+('Начальные условия и парам.'!$K$15/2)^2)*SIN(RADIANS(J61+PI()+'Начальные условия и парам.'!$H$19))</f>
        <v>0.63374174676093187</v>
      </c>
      <c r="X61" s="30">
        <f t="shared" si="4"/>
        <v>0.60999971600000003</v>
      </c>
      <c r="Y61" s="30">
        <f>B61+SQRT(('Начальные условия и парам.'!$E$15)^2+('Начальные условия и парам.'!$K$15/2)^2)*COS(RADIANS(J61+PI()-'Начальные условия и парам.'!$H$19))</f>
        <v>12.36564745869989</v>
      </c>
      <c r="Z61" s="30">
        <f>C61+SQRT(('Начальные условия и парам.'!$E$15)^2+('Начальные условия и парам.'!$K$15/2)^2)*SIN(RADIANS(J61+PI()-'Начальные условия и парам.'!$H$19))</f>
        <v>-1.2803069752626581</v>
      </c>
    </row>
    <row r="62" spans="1:26" x14ac:dyDescent="0.25">
      <c r="A62" s="30">
        <f>'аксел-ры 1 и 2 и интегр-ие  '!M65</f>
        <v>0.61999958799999999</v>
      </c>
      <c r="B62" s="30">
        <f>'аксел-ры 1 и 2 и интегр-ие  '!P65</f>
        <v>9.9289185179896222</v>
      </c>
      <c r="C62" s="30">
        <f>'аксел-ры 1 и 2 и интегр-ие  '!Y65</f>
        <v>0.53291110075532977</v>
      </c>
      <c r="D62" s="12"/>
      <c r="E62" s="30">
        <f>'аксел-ры 1 и 2 и интегр-ие  '!Q65</f>
        <v>0.61999958799999999</v>
      </c>
      <c r="F62" s="30">
        <f>'аксел-ры 1 и 2 и интегр-ие  '!T65</f>
        <v>11.808303759561438</v>
      </c>
      <c r="G62" s="30">
        <f>'аксел-ры 1 и 2 и интегр-ие  '!AC65</f>
        <v>-0.15112918589600799</v>
      </c>
      <c r="H62" s="12"/>
      <c r="I62" s="30">
        <f t="shared" si="0"/>
        <v>0.61999958799999999</v>
      </c>
      <c r="J62" s="30">
        <f>DEGREES(ASIN((G62-C62)/'Начальные условия и парам.'!$B$15))</f>
        <v>-20.000000000000011</v>
      </c>
      <c r="L62" s="30">
        <f t="shared" si="1"/>
        <v>0.61999958799999999</v>
      </c>
      <c r="M62" s="30">
        <f>B62+SQRT(('Начальные условия и парам.'!$B$15+'Начальные условия и парам.'!$H$15)^2+('Начальные условия и парам.'!$K$15/2)^2)*COS(RADIANS(J62+'Начальные условия и парам.'!$E$19))</f>
        <v>15.909094386030741</v>
      </c>
      <c r="N62" s="30">
        <f>C62+SQRT(('Начальные условия и парам.'!$B$15+'Начальные условия и парам.'!$H$15)^2+('Начальные условия и парам.'!$K$15/2)^2)*SIN(RADIANS(J62+'Начальные условия и парам.'!$E$19))</f>
        <v>-0.5795171384127753</v>
      </c>
      <c r="P62" s="30">
        <f t="shared" si="2"/>
        <v>0.61999958799999999</v>
      </c>
      <c r="Q62" s="30">
        <f>B62+SQRT(('Начальные условия и парам.'!$B$15+'Начальные условия и парам.'!$H$15)^2+('Начальные условия и парам.'!$K$15/2)^2)*COS(RADIANS(J62-'Начальные условия и парам.'!$E$19))</f>
        <v>15.225054099379403</v>
      </c>
      <c r="R62" s="30">
        <f>C62+SQRT(('Начальные условия и парам.'!$B$15+'Начальные условия и парам.'!$H$15)^2+('Начальные условия и парам.'!$K$15/2)^2)*SIN(RADIANS(J62-'Начальные условия и парам.'!$E$19))</f>
        <v>-2.4589023799845915</v>
      </c>
      <c r="T62" s="30">
        <f t="shared" si="3"/>
        <v>0.61999958799999999</v>
      </c>
      <c r="U62" s="30">
        <f>B62+SQRT(('Начальные условия и парам.'!$E$15)^2+('Начальные условия и парам.'!$K$15/2)^2)*COS(RADIANS(J62+PI()+'Начальные условия и парам.'!$H$19))</f>
        <v>13.089999139599378</v>
      </c>
      <c r="V62" s="30">
        <f>C62+SQRT(('Начальные условия и парам.'!$E$15)^2+('Начальные условия и парам.'!$K$15/2)^2)*SIN(RADIANS(J62+PI()+'Начальные условия и парам.'!$H$19))</f>
        <v>0.61991284604401109</v>
      </c>
      <c r="X62" s="30">
        <f t="shared" si="4"/>
        <v>0.61999958799999999</v>
      </c>
      <c r="Y62" s="30">
        <f>B62+SQRT(('Начальные условия и парам.'!$E$15)^2+('Начальные условия и парам.'!$K$15/2)^2)*COS(RADIANS(J62+PI()-'Начальные условия и парам.'!$H$19))</f>
        <v>12.509984062450636</v>
      </c>
      <c r="Z62" s="30">
        <f>C62+SQRT(('Начальные условия и парам.'!$E$15)^2+('Начальные условия и парам.'!$K$15/2)^2)*SIN(RADIANS(J62+PI()-'Начальные условия и парам.'!$H$19))</f>
        <v>-1.2941358759795789</v>
      </c>
    </row>
    <row r="63" spans="1:26" x14ac:dyDescent="0.25">
      <c r="A63" s="30">
        <f>'аксел-ры 1 и 2 и интегр-ие  '!M66</f>
        <v>0.62999945899999998</v>
      </c>
      <c r="B63" s="30">
        <f>'аксел-ры 1 и 2 и интегр-ие  '!P66</f>
        <v>10.072194481936995</v>
      </c>
      <c r="C63" s="30">
        <f>'аксел-ры 1 и 2 и интегр-ие  '!Y66</f>
        <v>0.51901191532406621</v>
      </c>
      <c r="D63" s="12"/>
      <c r="E63" s="30">
        <f>'аксел-ры 1 и 2 и интегр-ие  '!Q66</f>
        <v>0.62999945899999998</v>
      </c>
      <c r="F63" s="30">
        <f>'аксел-ры 1 и 2 и интегр-ие  '!T66</f>
        <v>11.951579723508813</v>
      </c>
      <c r="G63" s="30">
        <f>'аксел-ры 1 и 2 и интегр-ие  '!AC66</f>
        <v>-0.16502837132727066</v>
      </c>
      <c r="H63" s="12"/>
      <c r="I63" s="30">
        <f t="shared" si="0"/>
        <v>0.62999945899999998</v>
      </c>
      <c r="J63" s="30">
        <f>DEGREES(ASIN((G63-C63)/'Начальные условия и парам.'!$B$15))</f>
        <v>-19.999999999999982</v>
      </c>
      <c r="L63" s="30">
        <f t="shared" si="1"/>
        <v>0.62999945899999998</v>
      </c>
      <c r="M63" s="30">
        <f>B63+SQRT(('Начальные условия и парам.'!$B$15+'Начальные условия и парам.'!$H$15)^2+('Начальные условия и парам.'!$K$15/2)^2)*COS(RADIANS(J63+'Начальные условия и парам.'!$E$19))</f>
        <v>16.052370349978112</v>
      </c>
      <c r="N63" s="30">
        <f>C63+SQRT(('Начальные условия и парам.'!$B$15+'Начальные условия и парам.'!$H$15)^2+('Начальные условия и парам.'!$K$15/2)^2)*SIN(RADIANS(J63+'Начальные условия и парам.'!$E$19))</f>
        <v>-0.59341632384403598</v>
      </c>
      <c r="P63" s="30">
        <f t="shared" si="2"/>
        <v>0.62999945899999998</v>
      </c>
      <c r="Q63" s="30">
        <f>B63+SQRT(('Начальные условия и парам.'!$B$15+'Начальные условия и парам.'!$H$15)^2+('Начальные условия и парам.'!$K$15/2)^2)*COS(RADIANS(J63-'Начальные условия и парам.'!$E$19))</f>
        <v>15.368330063326777</v>
      </c>
      <c r="R63" s="30">
        <f>C63+SQRT(('Начальные условия и парам.'!$B$15+'Начальные условия и парам.'!$H$15)^2+('Начальные условия и парам.'!$K$15/2)^2)*SIN(RADIANS(J63-'Начальные условия и парам.'!$E$19))</f>
        <v>-2.4728015654158524</v>
      </c>
      <c r="T63" s="30">
        <f t="shared" si="3"/>
        <v>0.62999945899999998</v>
      </c>
      <c r="U63" s="30">
        <f>B63+SQRT(('Начальные условия и парам.'!$E$15)^2+('Начальные условия и парам.'!$K$15/2)^2)*COS(RADIANS(J63+PI()+'Начальные условия и парам.'!$H$19))</f>
        <v>13.233275103546751</v>
      </c>
      <c r="V63" s="30">
        <f>C63+SQRT(('Начальные условия и парам.'!$E$15)^2+('Начальные условия и парам.'!$K$15/2)^2)*SIN(RADIANS(J63+PI()+'Начальные условия и парам.'!$H$19))</f>
        <v>0.60601366061274908</v>
      </c>
      <c r="X63" s="30">
        <f t="shared" si="4"/>
        <v>0.62999945899999998</v>
      </c>
      <c r="Y63" s="30">
        <f>B63+SQRT(('Начальные условия и парам.'!$E$15)^2+('Начальные условия и парам.'!$K$15/2)^2)*COS(RADIANS(J63+PI()-'Начальные условия и парам.'!$H$19))</f>
        <v>12.65326002639801</v>
      </c>
      <c r="Z63" s="30">
        <f>C63+SQRT(('Начальные условия и парам.'!$E$15)^2+('Начальные условия и парам.'!$K$15/2)^2)*SIN(RADIANS(J63+PI()-'Начальные условия и парам.'!$H$19))</f>
        <v>-1.3080350614108411</v>
      </c>
    </row>
    <row r="64" spans="1:26" x14ac:dyDescent="0.25">
      <c r="A64" s="30">
        <f>'аксел-ры 1 и 2 и интегр-ие  '!M67</f>
        <v>0.63999932999999998</v>
      </c>
      <c r="B64" s="30">
        <f>'аксел-ры 1 и 2 и интегр-ие  '!P67</f>
        <v>10.214545001914495</v>
      </c>
      <c r="C64" s="30">
        <f>'аксел-ры 1 и 2 и интегр-ие  '!Y67</f>
        <v>0.50471088592688584</v>
      </c>
      <c r="D64" s="12"/>
      <c r="E64" s="30">
        <f>'аксел-ры 1 и 2 и интегр-ие  '!Q67</f>
        <v>0.63999932999999998</v>
      </c>
      <c r="F64" s="30">
        <f>'аксел-ры 1 и 2 и интегр-ие  '!T67</f>
        <v>12.093930243486312</v>
      </c>
      <c r="G64" s="30">
        <f>'аксел-ры 1 и 2 и интегр-ие  '!AC67</f>
        <v>-0.17932940072445147</v>
      </c>
      <c r="H64" s="12"/>
      <c r="I64" s="30">
        <f t="shared" si="0"/>
        <v>0.63999932999999998</v>
      </c>
      <c r="J64" s="30">
        <f>DEGREES(ASIN((G64-C64)/'Начальные условия и парам.'!$B$15))</f>
        <v>-19.999999999999996</v>
      </c>
      <c r="L64" s="30">
        <f t="shared" si="1"/>
        <v>0.63999932999999998</v>
      </c>
      <c r="M64" s="30">
        <f>B64+SQRT(('Начальные условия и парам.'!$B$15+'Начальные условия и парам.'!$H$15)^2+('Начальные условия и парам.'!$K$15/2)^2)*COS(RADIANS(J64+'Начальные условия и парам.'!$E$19))</f>
        <v>16.194720869955614</v>
      </c>
      <c r="N64" s="30">
        <f>C64+SQRT(('Начальные условия и парам.'!$B$15+'Начальные условия и парам.'!$H$15)^2+('Начальные условия и парам.'!$K$15/2)^2)*SIN(RADIANS(J64+'Начальные условия и парам.'!$E$19))</f>
        <v>-0.60771735324121789</v>
      </c>
      <c r="P64" s="30">
        <f t="shared" si="2"/>
        <v>0.63999932999999998</v>
      </c>
      <c r="Q64" s="30">
        <f>B64+SQRT(('Начальные условия и парам.'!$B$15+'Начальные условия и парам.'!$H$15)^2+('Начальные условия и парам.'!$K$15/2)^2)*COS(RADIANS(J64-'Начальные условия и парам.'!$E$19))</f>
        <v>15.510680583304275</v>
      </c>
      <c r="R64" s="30">
        <f>C64+SQRT(('Начальные условия и парам.'!$B$15+'Начальные условия и парам.'!$H$15)^2+('Начальные условия и парам.'!$K$15/2)^2)*SIN(RADIANS(J64-'Начальные условия и парам.'!$E$19))</f>
        <v>-2.4871025948130341</v>
      </c>
      <c r="T64" s="30">
        <f t="shared" si="3"/>
        <v>0.63999932999999998</v>
      </c>
      <c r="U64" s="30">
        <f>B64+SQRT(('Начальные условия и парам.'!$E$15)^2+('Начальные условия и парам.'!$K$15/2)^2)*COS(RADIANS(J64+PI()+'Начальные условия и парам.'!$H$19))</f>
        <v>13.37562562352425</v>
      </c>
      <c r="V64" s="30">
        <f>C64+SQRT(('Начальные условия и парам.'!$E$15)^2+('Начальные условия и парам.'!$K$15/2)^2)*SIN(RADIANS(J64+PI()+'Начальные условия и парам.'!$H$19))</f>
        <v>0.59171263121556794</v>
      </c>
      <c r="X64" s="30">
        <f t="shared" si="4"/>
        <v>0.63999932999999998</v>
      </c>
      <c r="Y64" s="30">
        <f>B64+SQRT(('Начальные условия и парам.'!$E$15)^2+('Начальные условия и парам.'!$K$15/2)^2)*COS(RADIANS(J64+PI()-'Начальные условия и парам.'!$H$19))</f>
        <v>12.79561054637551</v>
      </c>
      <c r="Z64" s="30">
        <f>C64+SQRT(('Начальные условия и парам.'!$E$15)^2+('Начальные условия и парам.'!$K$15/2)^2)*SIN(RADIANS(J64+PI()-'Начальные условия и парам.'!$H$19))</f>
        <v>-1.3223360908080224</v>
      </c>
    </row>
    <row r="65" spans="1:26" x14ac:dyDescent="0.25">
      <c r="A65" s="30">
        <f>'аксел-ры 1 и 2 и интегр-ие  '!M68</f>
        <v>0.64999967800000003</v>
      </c>
      <c r="B65" s="30">
        <f>'аксел-ры 1 и 2 и интегр-ие  '!P68</f>
        <v>10.356495958214859</v>
      </c>
      <c r="C65" s="30">
        <f>'аксел-ры 1 и 2 и интегр-ие  '!Y68</f>
        <v>0.4898162850041814</v>
      </c>
      <c r="D65" s="12"/>
      <c r="E65" s="30">
        <f>'аксел-ры 1 и 2 и интегр-ие  '!Q68</f>
        <v>0.64999967800000003</v>
      </c>
      <c r="F65" s="30">
        <f>'аксел-ры 1 и 2 и интегр-ие  '!T68</f>
        <v>12.235881199786675</v>
      </c>
      <c r="G65" s="30">
        <f>'аксел-ры 1 и 2 и интегр-ие  '!AC68</f>
        <v>-0.19422400164715548</v>
      </c>
      <c r="H65" s="12"/>
      <c r="I65" s="30">
        <f t="shared" si="0"/>
        <v>0.64999967800000003</v>
      </c>
      <c r="J65" s="30">
        <f>DEGREES(ASIN((G65-C65)/'Начальные условия и парам.'!$B$15))</f>
        <v>-19.999999999999982</v>
      </c>
      <c r="L65" s="30">
        <f t="shared" si="1"/>
        <v>0.64999967800000003</v>
      </c>
      <c r="M65" s="30">
        <f>B65+SQRT(('Начальные условия и парам.'!$B$15+'Начальные условия и парам.'!$H$15)^2+('Начальные условия и парам.'!$K$15/2)^2)*COS(RADIANS(J65+'Начальные условия и парам.'!$E$19))</f>
        <v>16.33667182625598</v>
      </c>
      <c r="N65" s="30">
        <f>C65+SQRT(('Начальные условия и парам.'!$B$15+'Начальные условия и парам.'!$H$15)^2+('Начальные условия и парам.'!$K$15/2)^2)*SIN(RADIANS(J65+'Начальные условия и парам.'!$E$19))</f>
        <v>-0.62261195416392079</v>
      </c>
      <c r="P65" s="30">
        <f t="shared" si="2"/>
        <v>0.64999967800000003</v>
      </c>
      <c r="Q65" s="30">
        <f>B65+SQRT(('Начальные условия и парам.'!$B$15+'Начальные условия и парам.'!$H$15)^2+('Начальные условия и парам.'!$K$15/2)^2)*COS(RADIANS(J65-'Начальные условия и парам.'!$E$19))</f>
        <v>15.652631539604641</v>
      </c>
      <c r="R65" s="30">
        <f>C65+SQRT(('Начальные условия и парам.'!$B$15+'Начальные условия и парам.'!$H$15)^2+('Начальные условия и парам.'!$K$15/2)^2)*SIN(RADIANS(J65-'Начальные условия и парам.'!$E$19))</f>
        <v>-2.5019971957357372</v>
      </c>
      <c r="T65" s="30">
        <f t="shared" si="3"/>
        <v>0.64999967800000003</v>
      </c>
      <c r="U65" s="30">
        <f>B65+SQRT(('Начальные условия и парам.'!$E$15)^2+('Начальные условия и парам.'!$K$15/2)^2)*COS(RADIANS(J65+PI()+'Начальные условия и парам.'!$H$19))</f>
        <v>13.517576579824615</v>
      </c>
      <c r="V65" s="30">
        <f>C65+SQRT(('Начальные условия и парам.'!$E$15)^2+('Начальные условия и парам.'!$K$15/2)^2)*SIN(RADIANS(J65+PI()+'Начальные условия и парам.'!$H$19))</f>
        <v>0.57681803029286427</v>
      </c>
      <c r="X65" s="30">
        <f t="shared" si="4"/>
        <v>0.64999967800000003</v>
      </c>
      <c r="Y65" s="30">
        <f>B65+SQRT(('Начальные условия и парам.'!$E$15)^2+('Начальные условия и парам.'!$K$15/2)^2)*COS(RADIANS(J65+PI()-'Начальные условия и парам.'!$H$19))</f>
        <v>12.937561502675875</v>
      </c>
      <c r="Z65" s="30">
        <f>C65+SQRT(('Начальные условия и парам.'!$E$15)^2+('Начальные условия и парам.'!$K$15/2)^2)*SIN(RADIANS(J65+PI()-'Начальные условия и парам.'!$H$19))</f>
        <v>-1.337230691730726</v>
      </c>
    </row>
    <row r="66" spans="1:26" x14ac:dyDescent="0.25">
      <c r="A66" s="30">
        <f>'аксел-ры 1 и 2 и интегр-ие  '!M69</f>
        <v>0.65999954900000002</v>
      </c>
      <c r="B66" s="30">
        <f>'аксел-ры 1 и 2 и интегр-ие  '!P69</f>
        <v>10.498710758990658</v>
      </c>
      <c r="C66" s="30">
        <f>'аксел-ры 1 и 2 и интегр-ие  '!Y69</f>
        <v>0.4749435350136757</v>
      </c>
      <c r="D66" s="12"/>
      <c r="E66" s="30">
        <f>'аксел-ры 1 и 2 и интегр-ие  '!Q69</f>
        <v>0.65999954900000002</v>
      </c>
      <c r="F66" s="30">
        <f>'аксел-ры 1 и 2 и интегр-ие  '!T69</f>
        <v>12.378096000562476</v>
      </c>
      <c r="G66" s="30">
        <f>'аксел-ры 1 и 2 и интегр-ие  '!AC69</f>
        <v>-0.20909675163766117</v>
      </c>
      <c r="H66" s="12"/>
      <c r="I66" s="30">
        <f t="shared" si="0"/>
        <v>0.65999954900000002</v>
      </c>
      <c r="J66" s="30">
        <f>DEGREES(ASIN((G66-C66)/'Начальные условия и парам.'!$B$15))</f>
        <v>-19.999999999999982</v>
      </c>
      <c r="L66" s="30">
        <f t="shared" si="1"/>
        <v>0.65999954900000002</v>
      </c>
      <c r="M66" s="30">
        <f>B66+SQRT(('Начальные условия и парам.'!$B$15+'Начальные условия и парам.'!$H$15)^2+('Начальные условия и парам.'!$K$15/2)^2)*COS(RADIANS(J66+'Начальные условия и парам.'!$E$19))</f>
        <v>16.478886627031777</v>
      </c>
      <c r="N66" s="30">
        <f>C66+SQRT(('Начальные условия и парам.'!$B$15+'Начальные условия и парам.'!$H$15)^2+('Начальные условия и парам.'!$K$15/2)^2)*SIN(RADIANS(J66+'Начальные условия и парам.'!$E$19))</f>
        <v>-0.63748470415442648</v>
      </c>
      <c r="P66" s="30">
        <f t="shared" si="2"/>
        <v>0.65999954900000002</v>
      </c>
      <c r="Q66" s="30">
        <f>B66+SQRT(('Начальные условия и парам.'!$B$15+'Начальные условия и парам.'!$H$15)^2+('Начальные условия и парам.'!$K$15/2)^2)*COS(RADIANS(J66-'Начальные условия и парам.'!$E$19))</f>
        <v>15.79484634038044</v>
      </c>
      <c r="R66" s="30">
        <f>C66+SQRT(('Начальные условия и парам.'!$B$15+'Начальные условия и парам.'!$H$15)^2+('Начальные условия и парам.'!$K$15/2)^2)*SIN(RADIANS(J66-'Начальные условия и парам.'!$E$19))</f>
        <v>-2.5168699457262429</v>
      </c>
      <c r="T66" s="30">
        <f t="shared" si="3"/>
        <v>0.65999954900000002</v>
      </c>
      <c r="U66" s="30">
        <f>B66+SQRT(('Начальные условия и парам.'!$E$15)^2+('Начальные условия и парам.'!$K$15/2)^2)*COS(RADIANS(J66+PI()+'Начальные условия и парам.'!$H$19))</f>
        <v>13.659791380600414</v>
      </c>
      <c r="V66" s="30">
        <f>C66+SQRT(('Начальные условия и парам.'!$E$15)^2+('Начальные условия и парам.'!$K$15/2)^2)*SIN(RADIANS(J66+PI()+'Начальные условия и парам.'!$H$19))</f>
        <v>0.56194528030235857</v>
      </c>
      <c r="X66" s="30">
        <f t="shared" si="4"/>
        <v>0.65999954900000002</v>
      </c>
      <c r="Y66" s="30">
        <f>B66+SQRT(('Начальные условия и парам.'!$E$15)^2+('Начальные условия и парам.'!$K$15/2)^2)*COS(RADIANS(J66+PI()-'Начальные условия и парам.'!$H$19))</f>
        <v>13.079776303451673</v>
      </c>
      <c r="Z66" s="30">
        <f>C66+SQRT(('Начальные условия и парам.'!$E$15)^2+('Начальные условия и парам.'!$K$15/2)^2)*SIN(RADIANS(J66+PI()-'Начальные условия и парам.'!$H$19))</f>
        <v>-1.3521034417212316</v>
      </c>
    </row>
    <row r="67" spans="1:26" x14ac:dyDescent="0.25">
      <c r="A67" s="30">
        <f>'аксел-ры 1 и 2 и интегр-ие  '!M70</f>
        <v>0.66999942099999998</v>
      </c>
      <c r="B67" s="30">
        <f>'аксел-ры 1 и 2 и интегр-ие  '!P70</f>
        <v>10.641606394198554</v>
      </c>
      <c r="C67" s="30">
        <f>'аксел-ры 1 и 2 и интегр-ие  '!Y70</f>
        <v>0.46121871846472029</v>
      </c>
      <c r="D67" s="12"/>
      <c r="E67" s="30">
        <f>'аксел-ры 1 и 2 и интегр-ие  '!Q70</f>
        <v>0.66999942099999998</v>
      </c>
      <c r="F67" s="30">
        <f>'аксел-ры 1 и 2 и интегр-ие  '!T70</f>
        <v>12.520991635770372</v>
      </c>
      <c r="G67" s="30">
        <f>'аксел-ры 1 и 2 и интегр-ие  '!AC70</f>
        <v>-0.22282156818661658</v>
      </c>
      <c r="H67" s="12"/>
      <c r="I67" s="30">
        <f t="shared" si="0"/>
        <v>0.66999942099999998</v>
      </c>
      <c r="J67" s="30">
        <f>DEGREES(ASIN((G67-C67)/'Начальные условия и парам.'!$B$15))</f>
        <v>-19.999999999999982</v>
      </c>
      <c r="L67" s="30">
        <f t="shared" si="1"/>
        <v>0.66999942099999998</v>
      </c>
      <c r="M67" s="30">
        <f>B67+SQRT(('Начальные условия и парам.'!$B$15+'Начальные условия и парам.'!$H$15)^2+('Начальные условия и парам.'!$K$15/2)^2)*COS(RADIANS(J67+'Начальные условия и парам.'!$E$19))</f>
        <v>16.621782262239673</v>
      </c>
      <c r="N67" s="30">
        <f>C67+SQRT(('Начальные условия и парам.'!$B$15+'Начальные условия и парам.'!$H$15)^2+('Начальные условия и парам.'!$K$15/2)^2)*SIN(RADIANS(J67+'Начальные условия и парам.'!$E$19))</f>
        <v>-0.65120952070338189</v>
      </c>
      <c r="P67" s="30">
        <f t="shared" si="2"/>
        <v>0.66999942099999998</v>
      </c>
      <c r="Q67" s="30">
        <f>B67+SQRT(('Начальные условия и парам.'!$B$15+'Начальные условия и парам.'!$H$15)^2+('Начальные условия и парам.'!$K$15/2)^2)*COS(RADIANS(J67-'Начальные условия и парам.'!$E$19))</f>
        <v>15.937741975588336</v>
      </c>
      <c r="R67" s="30">
        <f>C67+SQRT(('Начальные условия и парам.'!$B$15+'Начальные условия и парам.'!$H$15)^2+('Начальные условия и парам.'!$K$15/2)^2)*SIN(RADIANS(J67-'Начальные условия и парам.'!$E$19))</f>
        <v>-2.5305947622751983</v>
      </c>
      <c r="T67" s="30">
        <f t="shared" si="3"/>
        <v>0.66999942099999998</v>
      </c>
      <c r="U67" s="30">
        <f>B67+SQRT(('Начальные условия и парам.'!$E$15)^2+('Начальные условия и парам.'!$K$15/2)^2)*COS(RADIANS(J67+PI()+'Начальные условия и парам.'!$H$19))</f>
        <v>13.80268701580831</v>
      </c>
      <c r="V67" s="30">
        <f>C67+SQRT(('Начальные условия и парам.'!$E$15)^2+('Начальные условия и парам.'!$K$15/2)^2)*SIN(RADIANS(J67+PI()+'Начальные условия и парам.'!$H$19))</f>
        <v>0.54822046375340316</v>
      </c>
      <c r="X67" s="30">
        <f t="shared" si="4"/>
        <v>0.66999942099999998</v>
      </c>
      <c r="Y67" s="30">
        <f>B67+SQRT(('Начальные условия и парам.'!$E$15)^2+('Начальные условия и парам.'!$K$15/2)^2)*COS(RADIANS(J67+PI()-'Начальные условия и парам.'!$H$19))</f>
        <v>13.22267193865957</v>
      </c>
      <c r="Z67" s="30">
        <f>C67+SQRT(('Начальные условия и парам.'!$E$15)^2+('Начальные условия и парам.'!$K$15/2)^2)*SIN(RADIANS(J67+PI()-'Начальные условия и парам.'!$H$19))</f>
        <v>-1.3658282582701871</v>
      </c>
    </row>
    <row r="68" spans="1:26" x14ac:dyDescent="0.25">
      <c r="A68" s="30">
        <f>'аксел-ры 1 и 2 и интегр-ие  '!M71</f>
        <v>0.67999923200000001</v>
      </c>
      <c r="B68" s="30">
        <f>'аксел-ры 1 и 2 и интегр-ие  '!P71</f>
        <v>10.785012753863251</v>
      </c>
      <c r="C68" s="30">
        <f>'аксел-ры 1 и 2 и интегр-ие  '!Y71</f>
        <v>0.4490712417415077</v>
      </c>
      <c r="D68" s="12"/>
      <c r="E68" s="30">
        <f>'аксел-ры 1 и 2 и интегр-ие  '!Q71</f>
        <v>0.67999923200000001</v>
      </c>
      <c r="F68" s="30">
        <f>'аксел-ры 1 и 2 и интегр-ие  '!T71</f>
        <v>12.664397995435067</v>
      </c>
      <c r="G68" s="30">
        <f>'аксел-ры 1 и 2 и интегр-ие  '!AC71</f>
        <v>-0.23496904490983006</v>
      </c>
      <c r="H68" s="12"/>
      <c r="I68" s="30">
        <f t="shared" ref="I68:I131" si="5">A68</f>
        <v>0.67999923200000001</v>
      </c>
      <c r="J68" s="30">
        <f>DEGREES(ASIN((G68-C68)/'Начальные условия и парам.'!$B$15))</f>
        <v>-20.000000000000011</v>
      </c>
      <c r="L68" s="30">
        <f t="shared" ref="L68:L131" si="6">A68</f>
        <v>0.67999923200000001</v>
      </c>
      <c r="M68" s="30">
        <f>B68+SQRT(('Начальные условия и парам.'!$B$15+'Начальные условия и парам.'!$H$15)^2+('Начальные условия и парам.'!$K$15/2)^2)*COS(RADIANS(J68+'Начальные условия и парам.'!$E$19))</f>
        <v>16.765188621904368</v>
      </c>
      <c r="N68" s="30">
        <f>C68+SQRT(('Начальные условия и парам.'!$B$15+'Начальные условия и парам.'!$H$15)^2+('Начальные условия и парам.'!$K$15/2)^2)*SIN(RADIANS(J68+'Начальные условия и парам.'!$E$19))</f>
        <v>-0.66335699742659737</v>
      </c>
      <c r="P68" s="30">
        <f t="shared" ref="P68:P131" si="7">A68</f>
        <v>0.67999923200000001</v>
      </c>
      <c r="Q68" s="30">
        <f>B68+SQRT(('Начальные условия и парам.'!$B$15+'Начальные условия и парам.'!$H$15)^2+('Начальные условия и парам.'!$K$15/2)^2)*COS(RADIANS(J68-'Начальные условия и парам.'!$E$19))</f>
        <v>16.081148335253033</v>
      </c>
      <c r="R68" s="30">
        <f>C68+SQRT(('Начальные условия и парам.'!$B$15+'Начальные условия и парам.'!$H$15)^2+('Начальные условия и парам.'!$K$15/2)^2)*SIN(RADIANS(J68-'Начальные условия и парам.'!$E$19))</f>
        <v>-2.5427422389984136</v>
      </c>
      <c r="T68" s="30">
        <f t="shared" ref="T68:T131" si="8">A68</f>
        <v>0.67999923200000001</v>
      </c>
      <c r="U68" s="30">
        <f>B68+SQRT(('Начальные условия и парам.'!$E$15)^2+('Начальные условия и парам.'!$K$15/2)^2)*COS(RADIANS(J68+PI()+'Начальные условия и парам.'!$H$19))</f>
        <v>13.946093375473007</v>
      </c>
      <c r="V68" s="30">
        <f>C68+SQRT(('Начальные условия и парам.'!$E$15)^2+('Начальные условия и парам.'!$K$15/2)^2)*SIN(RADIANS(J68+PI()+'Начальные условия и парам.'!$H$19))</f>
        <v>0.53607298703018902</v>
      </c>
      <c r="X68" s="30">
        <f t="shared" ref="X68:X131" si="9">A68</f>
        <v>0.67999923200000001</v>
      </c>
      <c r="Y68" s="30">
        <f>B68+SQRT(('Начальные условия и парам.'!$E$15)^2+('Начальные условия и парам.'!$K$15/2)^2)*COS(RADIANS(J68+PI()-'Начальные условия и парам.'!$H$19))</f>
        <v>13.366078298324265</v>
      </c>
      <c r="Z68" s="30">
        <f>C68+SQRT(('Начальные условия и парам.'!$E$15)^2+('Начальные условия и парам.'!$K$15/2)^2)*SIN(RADIANS(J68+PI()-'Начальные условия и парам.'!$H$19))</f>
        <v>-1.377975734993401</v>
      </c>
    </row>
    <row r="69" spans="1:26" x14ac:dyDescent="0.25">
      <c r="A69" s="30">
        <f>'аксел-ры 1 и 2 и интегр-ие  '!M72</f>
        <v>0.68999964000000003</v>
      </c>
      <c r="B69" s="30">
        <f>'аксел-ры 1 и 2 и интегр-ие  '!P72</f>
        <v>10.928361922173243</v>
      </c>
      <c r="C69" s="30">
        <f>'аксел-ры 1 и 2 и интегр-ие  '!Y72</f>
        <v>0.4378754620982086</v>
      </c>
      <c r="D69" s="12"/>
      <c r="E69" s="30">
        <f>'аксел-ры 1 и 2 и интегр-ие  '!Q72</f>
        <v>0.68999964000000003</v>
      </c>
      <c r="F69" s="30">
        <f>'аксел-ры 1 и 2 и интегр-ие  '!T72</f>
        <v>12.807747163745059</v>
      </c>
      <c r="G69" s="30">
        <f>'аксел-ры 1 и 2 и интегр-ие  '!AC72</f>
        <v>-0.24616482455312916</v>
      </c>
      <c r="H69" s="12"/>
      <c r="I69" s="30">
        <f t="shared" si="5"/>
        <v>0.68999964000000003</v>
      </c>
      <c r="J69" s="30">
        <f>DEGREES(ASIN((G69-C69)/'Начальные условия и парам.'!$B$15))</f>
        <v>-20.000000000000011</v>
      </c>
      <c r="L69" s="30">
        <f t="shared" si="6"/>
        <v>0.68999964000000003</v>
      </c>
      <c r="M69" s="30">
        <f>B69+SQRT(('Начальные условия и парам.'!$B$15+'Начальные условия и парам.'!$H$15)^2+('Начальные условия и парам.'!$K$15/2)^2)*COS(RADIANS(J69+'Начальные условия и парам.'!$E$19))</f>
        <v>16.908537790214361</v>
      </c>
      <c r="N69" s="30">
        <f>C69+SQRT(('Начальные условия и парам.'!$B$15+'Начальные условия и парам.'!$H$15)^2+('Начальные условия и парам.'!$K$15/2)^2)*SIN(RADIANS(J69+'Начальные условия и парам.'!$E$19))</f>
        <v>-0.67455277706989647</v>
      </c>
      <c r="P69" s="30">
        <f t="shared" si="7"/>
        <v>0.68999964000000003</v>
      </c>
      <c r="Q69" s="30">
        <f>B69+SQRT(('Начальные условия и парам.'!$B$15+'Начальные условия и парам.'!$H$15)^2+('Начальные условия и парам.'!$K$15/2)^2)*COS(RADIANS(J69-'Начальные условия и парам.'!$E$19))</f>
        <v>16.224497503563025</v>
      </c>
      <c r="R69" s="30">
        <f>C69+SQRT(('Начальные условия и парам.'!$B$15+'Начальные условия и парам.'!$H$15)^2+('Начальные условия и парам.'!$K$15/2)^2)*SIN(RADIANS(J69-'Начальные условия и парам.'!$E$19))</f>
        <v>-2.5539380186417127</v>
      </c>
      <c r="T69" s="30">
        <f t="shared" si="8"/>
        <v>0.68999964000000003</v>
      </c>
      <c r="U69" s="30">
        <f>B69+SQRT(('Начальные условия и парам.'!$E$15)^2+('Начальные условия и парам.'!$K$15/2)^2)*COS(RADIANS(J69+PI()+'Начальные условия и парам.'!$H$19))</f>
        <v>14.089442543782999</v>
      </c>
      <c r="V69" s="30">
        <f>C69+SQRT(('Начальные условия и парам.'!$E$15)^2+('Начальные условия и парам.'!$K$15/2)^2)*SIN(RADIANS(J69+PI()+'Начальные условия и парам.'!$H$19))</f>
        <v>0.52487720738688992</v>
      </c>
      <c r="X69" s="30">
        <f t="shared" si="9"/>
        <v>0.68999964000000003</v>
      </c>
      <c r="Y69" s="30">
        <f>B69+SQRT(('Начальные условия и парам.'!$E$15)^2+('Начальные условия и парам.'!$K$15/2)^2)*COS(RADIANS(J69+PI()-'Начальные условия и парам.'!$H$19))</f>
        <v>13.509427466634257</v>
      </c>
      <c r="Z69" s="30">
        <f>C69+SQRT(('Начальные условия и парам.'!$E$15)^2+('Начальные условия и парам.'!$K$15/2)^2)*SIN(RADIANS(J69+PI()-'Начальные условия и парам.'!$H$19))</f>
        <v>-1.3891715146367001</v>
      </c>
    </row>
    <row r="70" spans="1:26" x14ac:dyDescent="0.25">
      <c r="A70" s="30">
        <f>'аксел-ры 1 и 2 и интегр-ие  '!M73</f>
        <v>0.69999951100000002</v>
      </c>
      <c r="B70" s="30">
        <f>'аксел-ры 1 и 2 и интегр-ие  '!P73</f>
        <v>11.07114204930404</v>
      </c>
      <c r="C70" s="30">
        <f>'аксел-ры 1 и 2 и интегр-ие  '!Y73</f>
        <v>0.42699747894722062</v>
      </c>
      <c r="D70" s="12"/>
      <c r="E70" s="30">
        <f>'аксел-ры 1 и 2 и интегр-ие  '!Q73</f>
        <v>0.69999951100000002</v>
      </c>
      <c r="F70" s="30">
        <f>'аксел-ры 1 и 2 и интегр-ие  '!T73</f>
        <v>12.950527290875858</v>
      </c>
      <c r="G70" s="30">
        <f>'аксел-ры 1 и 2 и интегр-ие  '!AC73</f>
        <v>-0.25704280770411714</v>
      </c>
      <c r="H70" s="12"/>
      <c r="I70" s="30">
        <f t="shared" si="5"/>
        <v>0.69999951100000002</v>
      </c>
      <c r="J70" s="30">
        <f>DEGREES(ASIN((G70-C70)/'Начальные условия и парам.'!$B$15))</f>
        <v>-20.000000000000011</v>
      </c>
      <c r="L70" s="30">
        <f t="shared" si="6"/>
        <v>0.69999951100000002</v>
      </c>
      <c r="M70" s="30">
        <f>B70+SQRT(('Начальные условия и парам.'!$B$15+'Начальные условия и парам.'!$H$15)^2+('Начальные условия и парам.'!$K$15/2)^2)*COS(RADIANS(J70+'Начальные условия и парам.'!$E$19))</f>
        <v>17.051317917345159</v>
      </c>
      <c r="N70" s="30">
        <f>C70+SQRT(('Начальные условия и парам.'!$B$15+'Начальные условия и парам.'!$H$15)^2+('Начальные условия и парам.'!$K$15/2)^2)*SIN(RADIANS(J70+'Начальные условия и парам.'!$E$19))</f>
        <v>-0.68543076022088445</v>
      </c>
      <c r="P70" s="30">
        <f t="shared" si="7"/>
        <v>0.69999951100000002</v>
      </c>
      <c r="Q70" s="30">
        <f>B70+SQRT(('Начальные условия и парам.'!$B$15+'Начальные условия и парам.'!$H$15)^2+('Начальные условия и парам.'!$K$15/2)^2)*COS(RADIANS(J70-'Начальные условия и парам.'!$E$19))</f>
        <v>16.36727763069382</v>
      </c>
      <c r="R70" s="30">
        <f>C70+SQRT(('Начальные условия и парам.'!$B$15+'Начальные условия и парам.'!$H$15)^2+('Начальные условия и парам.'!$K$15/2)^2)*SIN(RADIANS(J70-'Начальные условия и парам.'!$E$19))</f>
        <v>-2.5648160017927006</v>
      </c>
      <c r="T70" s="30">
        <f t="shared" si="8"/>
        <v>0.69999951100000002</v>
      </c>
      <c r="U70" s="30">
        <f>B70+SQRT(('Начальные условия и парам.'!$E$15)^2+('Начальные условия и парам.'!$K$15/2)^2)*COS(RADIANS(J70+PI()+'Начальные условия и парам.'!$H$19))</f>
        <v>14.232222670913796</v>
      </c>
      <c r="V70" s="30">
        <f>C70+SQRT(('Начальные условия и парам.'!$E$15)^2+('Начальные условия и парам.'!$K$15/2)^2)*SIN(RADIANS(J70+PI()+'Начальные условия и парам.'!$H$19))</f>
        <v>0.51399922423590194</v>
      </c>
      <c r="X70" s="30">
        <f t="shared" si="9"/>
        <v>0.69999951100000002</v>
      </c>
      <c r="Y70" s="30">
        <f>B70+SQRT(('Начальные условия и парам.'!$E$15)^2+('Начальные условия и парам.'!$K$15/2)^2)*COS(RADIANS(J70+PI()-'Начальные условия и парам.'!$H$19))</f>
        <v>13.652207593765054</v>
      </c>
      <c r="Z70" s="30">
        <f>C70+SQRT(('Начальные условия и парам.'!$E$15)^2+('Начальные условия и парам.'!$K$15/2)^2)*SIN(RADIANS(J70+PI()-'Начальные условия и парам.'!$H$19))</f>
        <v>-1.4000494977876881</v>
      </c>
    </row>
    <row r="71" spans="1:26" x14ac:dyDescent="0.25">
      <c r="A71" s="30">
        <f>'аксел-ры 1 и 2 и интегр-ие  '!M74</f>
        <v>0.70999938299999998</v>
      </c>
      <c r="B71" s="30">
        <f>'аксел-ры 1 и 2 и интегр-ие  '!P74</f>
        <v>11.213265207119337</v>
      </c>
      <c r="C71" s="30">
        <f>'аксел-ры 1 и 2 и интегр-ие  '!Y74</f>
        <v>0.41637302442043023</v>
      </c>
      <c r="D71" s="12"/>
      <c r="E71" s="30">
        <f>'аксел-ры 1 и 2 и интегр-ие  '!Q74</f>
        <v>0.70999938299999998</v>
      </c>
      <c r="F71" s="30">
        <f>'аксел-ры 1 и 2 и интегр-ие  '!T74</f>
        <v>13.092650448691154</v>
      </c>
      <c r="G71" s="30">
        <f>'аксел-ры 1 и 2 и интегр-ие  '!AC74</f>
        <v>-0.26766726223090753</v>
      </c>
      <c r="H71" s="12"/>
      <c r="I71" s="30">
        <f t="shared" si="5"/>
        <v>0.70999938299999998</v>
      </c>
      <c r="J71" s="30">
        <f>DEGREES(ASIN((G71-C71)/'Начальные условия и парам.'!$B$15))</f>
        <v>-20.000000000000011</v>
      </c>
      <c r="L71" s="30">
        <f t="shared" si="6"/>
        <v>0.70999938299999998</v>
      </c>
      <c r="M71" s="30">
        <f>B71+SQRT(('Начальные условия и парам.'!$B$15+'Начальные условия и парам.'!$H$15)^2+('Начальные условия и парам.'!$K$15/2)^2)*COS(RADIANS(J71+'Начальные условия и парам.'!$E$19))</f>
        <v>17.193441075160454</v>
      </c>
      <c r="N71" s="30">
        <f>C71+SQRT(('Начальные условия и парам.'!$B$15+'Начальные условия и парам.'!$H$15)^2+('Начальные условия и парам.'!$K$15/2)^2)*SIN(RADIANS(J71+'Начальные условия и парам.'!$E$19))</f>
        <v>-0.69605521474767484</v>
      </c>
      <c r="P71" s="30">
        <f t="shared" si="7"/>
        <v>0.70999938299999998</v>
      </c>
      <c r="Q71" s="30">
        <f>B71+SQRT(('Начальные условия и парам.'!$B$15+'Начальные условия и парам.'!$H$15)^2+('Начальные условия и парам.'!$K$15/2)^2)*COS(RADIANS(J71-'Начальные условия и парам.'!$E$19))</f>
        <v>16.509400788509119</v>
      </c>
      <c r="R71" s="30">
        <f>C71+SQRT(('Начальные условия и парам.'!$B$15+'Начальные условия и парам.'!$H$15)^2+('Начальные условия и парам.'!$K$15/2)^2)*SIN(RADIANS(J71-'Начальные условия и парам.'!$E$19))</f>
        <v>-2.575440456319491</v>
      </c>
      <c r="T71" s="30">
        <f t="shared" si="8"/>
        <v>0.70999938299999998</v>
      </c>
      <c r="U71" s="30">
        <f>B71+SQRT(('Начальные условия и парам.'!$E$15)^2+('Начальные условия и парам.'!$K$15/2)^2)*COS(RADIANS(J71+PI()+'Начальные условия и парам.'!$H$19))</f>
        <v>14.374345828729092</v>
      </c>
      <c r="V71" s="30">
        <f>C71+SQRT(('Начальные условия и парам.'!$E$15)^2+('Начальные условия и парам.'!$K$15/2)^2)*SIN(RADIANS(J71+PI()+'Начальные условия и парам.'!$H$19))</f>
        <v>0.50337476970911155</v>
      </c>
      <c r="X71" s="30">
        <f t="shared" si="9"/>
        <v>0.70999938299999998</v>
      </c>
      <c r="Y71" s="30">
        <f>B71+SQRT(('Начальные условия и парам.'!$E$15)^2+('Начальные условия и парам.'!$K$15/2)^2)*COS(RADIANS(J71+PI()-'Начальные условия и парам.'!$H$19))</f>
        <v>13.79433075158035</v>
      </c>
      <c r="Z71" s="30">
        <f>C71+SQRT(('Начальные условия и парам.'!$E$15)^2+('Начальные условия и парам.'!$K$15/2)^2)*SIN(RADIANS(J71+PI()-'Начальные условия и парам.'!$H$19))</f>
        <v>-1.4106739523144785</v>
      </c>
    </row>
    <row r="72" spans="1:26" x14ac:dyDescent="0.25">
      <c r="A72" s="30">
        <f>'аксел-ры 1 и 2 и интегр-ие  '!M75</f>
        <v>0.71999919400000001</v>
      </c>
      <c r="B72" s="30">
        <f>'аксел-ры 1 и 2 и интегр-ие  '!P75</f>
        <v>11.354948767571333</v>
      </c>
      <c r="C72" s="30">
        <f>'аксел-ры 1 и 2 и интегр-ие  '!Y75</f>
        <v>0.40591374961830695</v>
      </c>
      <c r="D72" s="12"/>
      <c r="E72" s="30">
        <f>'аксел-ры 1 и 2 и интегр-ие  '!Q75</f>
        <v>0.71999919400000001</v>
      </c>
      <c r="F72" s="30">
        <f>'аксел-ры 1 и 2 и интегр-ие  '!T75</f>
        <v>13.234334009143151</v>
      </c>
      <c r="G72" s="30">
        <f>'аксел-ры 1 и 2 и интегр-ие  '!AC75</f>
        <v>-0.27812653703303081</v>
      </c>
      <c r="H72" s="12"/>
      <c r="I72" s="30">
        <f t="shared" si="5"/>
        <v>0.71999919400000001</v>
      </c>
      <c r="J72" s="30">
        <f>DEGREES(ASIN((G72-C72)/'Начальные условия и парам.'!$B$15))</f>
        <v>-20.000000000000011</v>
      </c>
      <c r="L72" s="30">
        <f t="shared" si="6"/>
        <v>0.71999919400000001</v>
      </c>
      <c r="M72" s="30">
        <f>B72+SQRT(('Начальные условия и парам.'!$B$15+'Начальные условия и парам.'!$H$15)^2+('Начальные условия и парам.'!$K$15/2)^2)*COS(RADIANS(J72+'Начальные условия и парам.'!$E$19))</f>
        <v>17.335124635612452</v>
      </c>
      <c r="N72" s="30">
        <f>C72+SQRT(('Начальные условия и парам.'!$B$15+'Начальные условия и парам.'!$H$15)^2+('Начальные условия и парам.'!$K$15/2)^2)*SIN(RADIANS(J72+'Начальные условия и парам.'!$E$19))</f>
        <v>-0.70651448954979812</v>
      </c>
      <c r="P72" s="30">
        <f t="shared" si="7"/>
        <v>0.71999919400000001</v>
      </c>
      <c r="Q72" s="30">
        <f>B72+SQRT(('Начальные условия и парам.'!$B$15+'Начальные условия и парам.'!$H$15)^2+('Начальные условия и парам.'!$K$15/2)^2)*COS(RADIANS(J72-'Начальные условия и парам.'!$E$19))</f>
        <v>16.651084348961113</v>
      </c>
      <c r="R72" s="30">
        <f>C72+SQRT(('Начальные условия и парам.'!$B$15+'Начальные условия и парам.'!$H$15)^2+('Начальные условия и парам.'!$K$15/2)^2)*SIN(RADIANS(J72-'Начальные условия и парам.'!$E$19))</f>
        <v>-2.5858997311216143</v>
      </c>
      <c r="T72" s="30">
        <f t="shared" si="8"/>
        <v>0.71999919400000001</v>
      </c>
      <c r="U72" s="30">
        <f>B72+SQRT(('Начальные условия и парам.'!$E$15)^2+('Начальные условия и парам.'!$K$15/2)^2)*COS(RADIANS(J72+PI()+'Начальные условия и парам.'!$H$19))</f>
        <v>14.516029389181089</v>
      </c>
      <c r="V72" s="30">
        <f>C72+SQRT(('Начальные условия и парам.'!$E$15)^2+('Начальные условия и парам.'!$K$15/2)^2)*SIN(RADIANS(J72+PI()+'Начальные условия и парам.'!$H$19))</f>
        <v>0.49291549490698827</v>
      </c>
      <c r="X72" s="30">
        <f t="shared" si="9"/>
        <v>0.71999919400000001</v>
      </c>
      <c r="Y72" s="30">
        <f>B72+SQRT(('Начальные условия и парам.'!$E$15)^2+('Начальные условия и парам.'!$K$15/2)^2)*COS(RADIANS(J72+PI()-'Начальные условия и парам.'!$H$19))</f>
        <v>13.936014312032347</v>
      </c>
      <c r="Z72" s="30">
        <f>C72+SQRT(('Начальные условия и парам.'!$E$15)^2+('Начальные условия и парам.'!$K$15/2)^2)*SIN(RADIANS(J72+PI()-'Начальные условия и парам.'!$H$19))</f>
        <v>-1.4211332271166017</v>
      </c>
    </row>
    <row r="73" spans="1:26" x14ac:dyDescent="0.25">
      <c r="A73" s="30">
        <f>'аксел-ры 1 и 2 и интегр-ие  '!M76</f>
        <v>0.72999960200000003</v>
      </c>
      <c r="B73" s="30">
        <f>'аксел-ры 1 и 2 и интегр-ие  '!P76</f>
        <v>11.49653170580925</v>
      </c>
      <c r="C73" s="30">
        <f>'аксел-ры 1 и 2 и интегр-ие  '!Y76</f>
        <v>0.39525673582632592</v>
      </c>
      <c r="D73" s="12"/>
      <c r="E73" s="30">
        <f>'аксел-ры 1 и 2 и интегр-ие  '!Q76</f>
        <v>0.72999960200000003</v>
      </c>
      <c r="F73" s="30">
        <f>'аксел-ры 1 и 2 и интегр-ие  '!T76</f>
        <v>13.375916947381068</v>
      </c>
      <c r="G73" s="30">
        <f>'аксел-ры 1 и 2 и интегр-ие  '!AC76</f>
        <v>-0.28878355082501184</v>
      </c>
      <c r="H73" s="12"/>
      <c r="I73" s="30">
        <f t="shared" si="5"/>
        <v>0.72999960200000003</v>
      </c>
      <c r="J73" s="30">
        <f>DEGREES(ASIN((G73-C73)/'Начальные условия и парам.'!$B$15))</f>
        <v>-20.000000000000011</v>
      </c>
      <c r="L73" s="30">
        <f t="shared" si="6"/>
        <v>0.72999960200000003</v>
      </c>
      <c r="M73" s="30">
        <f>B73+SQRT(('Начальные условия и парам.'!$B$15+'Начальные условия и парам.'!$H$15)^2+('Начальные условия и парам.'!$K$15/2)^2)*COS(RADIANS(J73+'Начальные условия и парам.'!$E$19))</f>
        <v>17.476707573850369</v>
      </c>
      <c r="N73" s="30">
        <f>C73+SQRT(('Начальные условия и парам.'!$B$15+'Начальные условия и парам.'!$H$15)^2+('Начальные условия и парам.'!$K$15/2)^2)*SIN(RADIANS(J73+'Начальные условия и парам.'!$E$19))</f>
        <v>-0.71717150334177915</v>
      </c>
      <c r="P73" s="30">
        <f t="shared" si="7"/>
        <v>0.72999960200000003</v>
      </c>
      <c r="Q73" s="30">
        <f>B73+SQRT(('Начальные условия и парам.'!$B$15+'Начальные условия и парам.'!$H$15)^2+('Начальные условия и парам.'!$K$15/2)^2)*COS(RADIANS(J73-'Начальные условия и парам.'!$E$19))</f>
        <v>16.792667287199031</v>
      </c>
      <c r="R73" s="30">
        <f>C73+SQRT(('Начальные условия и парам.'!$B$15+'Начальные условия и парам.'!$H$15)^2+('Начальные условия и парам.'!$K$15/2)^2)*SIN(RADIANS(J73-'Начальные условия и парам.'!$E$19))</f>
        <v>-2.5965567449135953</v>
      </c>
      <c r="T73" s="30">
        <f t="shared" si="8"/>
        <v>0.72999960200000003</v>
      </c>
      <c r="U73" s="30">
        <f>B73+SQRT(('Начальные условия и парам.'!$E$15)^2+('Начальные условия и парам.'!$K$15/2)^2)*COS(RADIANS(J73+PI()+'Начальные условия и парам.'!$H$19))</f>
        <v>14.657612327419006</v>
      </c>
      <c r="V73" s="30">
        <f>C73+SQRT(('Начальные условия и парам.'!$E$15)^2+('Начальные условия и парам.'!$K$15/2)^2)*SIN(RADIANS(J73+PI()+'Начальные условия и парам.'!$H$19))</f>
        <v>0.48225848111500724</v>
      </c>
      <c r="X73" s="30">
        <f t="shared" si="9"/>
        <v>0.72999960200000003</v>
      </c>
      <c r="Y73" s="30">
        <f>B73+SQRT(('Начальные условия и парам.'!$E$15)^2+('Начальные условия и парам.'!$K$15/2)^2)*COS(RADIANS(J73+PI()-'Начальные условия и парам.'!$H$19))</f>
        <v>14.077597250270264</v>
      </c>
      <c r="Z73" s="30">
        <f>C73+SQRT(('Начальные условия и парам.'!$E$15)^2+('Начальные условия и парам.'!$K$15/2)^2)*SIN(RADIANS(J73+PI()-'Начальные условия и парам.'!$H$19))</f>
        <v>-1.4317902409085828</v>
      </c>
    </row>
    <row r="74" spans="1:26" x14ac:dyDescent="0.25">
      <c r="A74" s="30">
        <f>'аксел-ры 1 и 2 и интегр-ие  '!M77</f>
        <v>0.73999947300000002</v>
      </c>
      <c r="B74" s="30">
        <f>'аксел-ры 1 и 2 и интегр-ие  '!P77</f>
        <v>11.638246543309899</v>
      </c>
      <c r="C74" s="30">
        <f>'аксел-ры 1 и 2 и интегр-ие  '!Y77</f>
        <v>0.38453659633201021</v>
      </c>
      <c r="D74" s="12"/>
      <c r="E74" s="30">
        <f>'аксел-ры 1 и 2 и интегр-ие  '!Q77</f>
        <v>0.73999947300000002</v>
      </c>
      <c r="F74" s="30">
        <f>'аксел-ры 1 и 2 и интегр-ие  '!T77</f>
        <v>13.517631784881715</v>
      </c>
      <c r="G74" s="30">
        <f>'аксел-ры 1 и 2 и интегр-ие  '!AC77</f>
        <v>-0.29950369031932755</v>
      </c>
      <c r="H74" s="12"/>
      <c r="I74" s="30">
        <f t="shared" si="5"/>
        <v>0.73999947300000002</v>
      </c>
      <c r="J74" s="30">
        <f>DEGREES(ASIN((G74-C74)/'Начальные условия и парам.'!$B$15))</f>
        <v>-20.000000000000011</v>
      </c>
      <c r="L74" s="30">
        <f t="shared" si="6"/>
        <v>0.73999947300000002</v>
      </c>
      <c r="M74" s="30">
        <f>B74+SQRT(('Начальные условия и парам.'!$B$15+'Начальные условия и парам.'!$H$15)^2+('Начальные условия и парам.'!$K$15/2)^2)*COS(RADIANS(J74+'Начальные условия и парам.'!$E$19))</f>
        <v>17.618422411351016</v>
      </c>
      <c r="N74" s="30">
        <f>C74+SQRT(('Начальные условия и парам.'!$B$15+'Начальные условия и парам.'!$H$15)^2+('Начальные условия и парам.'!$K$15/2)^2)*SIN(RADIANS(J74+'Начальные условия и парам.'!$E$19))</f>
        <v>-0.72789164283609487</v>
      </c>
      <c r="P74" s="30">
        <f t="shared" si="7"/>
        <v>0.73999947300000002</v>
      </c>
      <c r="Q74" s="30">
        <f>B74+SQRT(('Начальные условия и парам.'!$B$15+'Начальные условия и парам.'!$H$15)^2+('Начальные условия и парам.'!$K$15/2)^2)*COS(RADIANS(J74-'Начальные условия и парам.'!$E$19))</f>
        <v>16.934382124699681</v>
      </c>
      <c r="R74" s="30">
        <f>C74+SQRT(('Начальные условия и парам.'!$B$15+'Начальные условия и парам.'!$H$15)^2+('Начальные условия и парам.'!$K$15/2)^2)*SIN(RADIANS(J74-'Начальные условия и парам.'!$E$19))</f>
        <v>-2.6072768844079111</v>
      </c>
      <c r="T74" s="30">
        <f t="shared" si="8"/>
        <v>0.73999947300000002</v>
      </c>
      <c r="U74" s="30">
        <f>B74+SQRT(('Начальные условия и парам.'!$E$15)^2+('Начальные условия и парам.'!$K$15/2)^2)*COS(RADIANS(J74+PI()+'Начальные условия и парам.'!$H$19))</f>
        <v>14.799327164919655</v>
      </c>
      <c r="V74" s="30">
        <f>C74+SQRT(('Начальные условия и парам.'!$E$15)^2+('Начальные условия и парам.'!$K$15/2)^2)*SIN(RADIANS(J74+PI()+'Начальные условия и парам.'!$H$19))</f>
        <v>0.47153834162069153</v>
      </c>
      <c r="X74" s="30">
        <f t="shared" si="9"/>
        <v>0.73999947300000002</v>
      </c>
      <c r="Y74" s="30">
        <f>B74+SQRT(('Начальные условия и парам.'!$E$15)^2+('Начальные условия и парам.'!$K$15/2)^2)*COS(RADIANS(J74+PI()-'Начальные условия и парам.'!$H$19))</f>
        <v>14.219312087770913</v>
      </c>
      <c r="Z74" s="30">
        <f>C74+SQRT(('Начальные условия и парам.'!$E$15)^2+('Начальные условия и парам.'!$K$15/2)^2)*SIN(RADIANS(J74+PI()-'Начальные условия и парам.'!$H$19))</f>
        <v>-1.4425103804028985</v>
      </c>
    </row>
    <row r="75" spans="1:26" x14ac:dyDescent="0.25">
      <c r="A75" s="30">
        <f>'аксел-ры 1 и 2 и интегр-ие  '!M78</f>
        <v>0.74999928500000002</v>
      </c>
      <c r="B75" s="30">
        <f>'аксел-ры 1 и 2 и интегр-ие  '!P78</f>
        <v>11.780089995795919</v>
      </c>
      <c r="C75" s="30">
        <f>'аксел-ры 1 и 2 и интегр-ие  '!Y78</f>
        <v>0.37461774658541191</v>
      </c>
      <c r="D75" s="12"/>
      <c r="E75" s="30">
        <f>'аксел-ры 1 и 2 и интегр-ие  '!Q78</f>
        <v>0.74999928500000002</v>
      </c>
      <c r="F75" s="30">
        <f>'аксел-ры 1 и 2 и интегр-ие  '!T78</f>
        <v>13.659475237367735</v>
      </c>
      <c r="G75" s="30">
        <f>'аксел-ры 1 и 2 и интегр-ие  '!AC78</f>
        <v>-0.30942254006592584</v>
      </c>
      <c r="H75" s="12"/>
      <c r="I75" s="30">
        <f t="shared" si="5"/>
        <v>0.74999928500000002</v>
      </c>
      <c r="J75" s="30">
        <f>DEGREES(ASIN((G75-C75)/'Начальные условия и парам.'!$B$15))</f>
        <v>-20.000000000000011</v>
      </c>
      <c r="L75" s="30">
        <f t="shared" si="6"/>
        <v>0.74999928500000002</v>
      </c>
      <c r="M75" s="30">
        <f>B75+SQRT(('Начальные условия и парам.'!$B$15+'Начальные условия и парам.'!$H$15)^2+('Начальные условия и парам.'!$K$15/2)^2)*COS(RADIANS(J75+'Начальные условия и парам.'!$E$19))</f>
        <v>17.760265863837038</v>
      </c>
      <c r="N75" s="30">
        <f>C75+SQRT(('Начальные условия и парам.'!$B$15+'Начальные условия и парам.'!$H$15)^2+('Начальные условия и парам.'!$K$15/2)^2)*SIN(RADIANS(J75+'Начальные условия и парам.'!$E$19))</f>
        <v>-0.73781049258269316</v>
      </c>
      <c r="P75" s="30">
        <f t="shared" si="7"/>
        <v>0.74999928500000002</v>
      </c>
      <c r="Q75" s="30">
        <f>B75+SQRT(('Начальные условия и парам.'!$B$15+'Начальные условия и парам.'!$H$15)^2+('Начальные условия и парам.'!$K$15/2)^2)*COS(RADIANS(J75-'Начальные условия и парам.'!$E$19))</f>
        <v>17.076225577185699</v>
      </c>
      <c r="R75" s="30">
        <f>C75+SQRT(('Начальные условия и парам.'!$B$15+'Начальные условия и парам.'!$H$15)^2+('Начальные условия и парам.'!$K$15/2)^2)*SIN(RADIANS(J75-'Начальные условия и парам.'!$E$19))</f>
        <v>-2.6171957341545093</v>
      </c>
      <c r="T75" s="30">
        <f t="shared" si="8"/>
        <v>0.74999928500000002</v>
      </c>
      <c r="U75" s="30">
        <f>B75+SQRT(('Начальные условия и парам.'!$E$15)^2+('Начальные условия и парам.'!$K$15/2)^2)*COS(RADIANS(J75+PI()+'Начальные условия и парам.'!$H$19))</f>
        <v>14.941170617405675</v>
      </c>
      <c r="V75" s="30">
        <f>C75+SQRT(('Начальные условия и парам.'!$E$15)^2+('Начальные условия и парам.'!$K$15/2)^2)*SIN(RADIANS(J75+PI()+'Начальные условия и парам.'!$H$19))</f>
        <v>0.46161949187409324</v>
      </c>
      <c r="X75" s="30">
        <f t="shared" si="9"/>
        <v>0.74999928500000002</v>
      </c>
      <c r="Y75" s="30">
        <f>B75+SQRT(('Начальные условия и парам.'!$E$15)^2+('Начальные условия и парам.'!$K$15/2)^2)*COS(RADIANS(J75+PI()-'Начальные условия и парам.'!$H$19))</f>
        <v>14.361155540256933</v>
      </c>
      <c r="Z75" s="30">
        <f>C75+SQRT(('Начальные условия и парам.'!$E$15)^2+('Начальные условия и парам.'!$K$15/2)^2)*SIN(RADIANS(J75+PI()-'Начальные условия и парам.'!$H$19))</f>
        <v>-1.4524292301494968</v>
      </c>
    </row>
    <row r="76" spans="1:26" x14ac:dyDescent="0.25">
      <c r="A76" s="30">
        <f>'аксел-ры 1 и 2 и интегр-ие  '!M79</f>
        <v>0.75999915600000001</v>
      </c>
      <c r="B76" s="30">
        <f>'аксел-ры 1 и 2 и интегр-ие  '!P79</f>
        <v>11.921748158894717</v>
      </c>
      <c r="C76" s="30">
        <f>'аксел-ры 1 и 2 и интегр-ие  '!Y79</f>
        <v>0.36635929843002124</v>
      </c>
      <c r="D76" s="12"/>
      <c r="E76" s="30">
        <f>'аксел-ры 1 и 2 и интегр-ие  '!Q79</f>
        <v>0.75999915600000001</v>
      </c>
      <c r="F76" s="30">
        <f>'аксел-ры 1 и 2 и интегр-ие  '!T79</f>
        <v>13.801133400466533</v>
      </c>
      <c r="G76" s="30">
        <f>'аксел-ры 1 и 2 и интегр-ие  '!AC79</f>
        <v>-0.31768098822131563</v>
      </c>
      <c r="H76" s="12"/>
      <c r="I76" s="30">
        <f t="shared" si="5"/>
        <v>0.75999915600000001</v>
      </c>
      <c r="J76" s="30">
        <f>DEGREES(ASIN((G76-C76)/'Начальные условия и парам.'!$B$15))</f>
        <v>-19.999999999999982</v>
      </c>
      <c r="L76" s="30">
        <f t="shared" si="6"/>
        <v>0.75999915600000001</v>
      </c>
      <c r="M76" s="30">
        <f>B76+SQRT(('Начальные условия и парам.'!$B$15+'Начальные условия и парам.'!$H$15)^2+('Начальные условия и парам.'!$K$15/2)^2)*COS(RADIANS(J76+'Начальные условия и парам.'!$E$19))</f>
        <v>17.901924026935838</v>
      </c>
      <c r="N76" s="30">
        <f>C76+SQRT(('Начальные условия и парам.'!$B$15+'Начальные условия и парам.'!$H$15)^2+('Начальные условия и парам.'!$K$15/2)^2)*SIN(RADIANS(J76+'Начальные условия и парам.'!$E$19))</f>
        <v>-0.74606894073808094</v>
      </c>
      <c r="P76" s="30">
        <f t="shared" si="7"/>
        <v>0.75999915600000001</v>
      </c>
      <c r="Q76" s="30">
        <f>B76+SQRT(('Начальные условия и парам.'!$B$15+'Начальные условия и парам.'!$H$15)^2+('Начальные условия и парам.'!$K$15/2)^2)*COS(RADIANS(J76-'Начальные условия и парам.'!$E$19))</f>
        <v>17.217883740284499</v>
      </c>
      <c r="R76" s="30">
        <f>C76+SQRT(('Начальные условия и парам.'!$B$15+'Начальные условия и парам.'!$H$15)^2+('Начальные условия и парам.'!$K$15/2)^2)*SIN(RADIANS(J76-'Начальные условия и парам.'!$E$19))</f>
        <v>-2.6254541823098974</v>
      </c>
      <c r="T76" s="30">
        <f t="shared" si="8"/>
        <v>0.75999915600000001</v>
      </c>
      <c r="U76" s="30">
        <f>B76+SQRT(('Начальные условия и парам.'!$E$15)^2+('Начальные условия и парам.'!$K$15/2)^2)*COS(RADIANS(J76+PI()+'Начальные условия и парам.'!$H$19))</f>
        <v>15.082828780504473</v>
      </c>
      <c r="V76" s="30">
        <f>C76+SQRT(('Начальные условия и парам.'!$E$15)^2+('Начальные условия и парам.'!$K$15/2)^2)*SIN(RADIANS(J76+PI()+'Начальные условия и парам.'!$H$19))</f>
        <v>0.45336104371870412</v>
      </c>
      <c r="X76" s="30">
        <f t="shared" si="9"/>
        <v>0.75999915600000001</v>
      </c>
      <c r="Y76" s="30">
        <f>B76+SQRT(('Начальные условия и парам.'!$E$15)^2+('Начальные условия и парам.'!$K$15/2)^2)*COS(RADIANS(J76+PI()-'Начальные условия и парам.'!$H$19))</f>
        <v>14.502813703355732</v>
      </c>
      <c r="Z76" s="30">
        <f>C76+SQRT(('Начальные условия и парам.'!$E$15)^2+('Начальные условия и парам.'!$K$15/2)^2)*SIN(RADIANS(J76+PI()-'Начальные условия и парам.'!$H$19))</f>
        <v>-1.4606876783048861</v>
      </c>
    </row>
    <row r="77" spans="1:26" x14ac:dyDescent="0.25">
      <c r="A77" s="30">
        <f>'аксел-ры 1 и 2 и интегр-ие  '!M80</f>
        <v>0.76999956400000003</v>
      </c>
      <c r="B77" s="30">
        <f>'аксел-ры 1 и 2 и интегр-ие  '!P80</f>
        <v>12.062845952750934</v>
      </c>
      <c r="C77" s="30">
        <f>'аксел-ры 1 и 2 и интегр-ие  '!Y80</f>
        <v>0.3602567448125642</v>
      </c>
      <c r="D77" s="12"/>
      <c r="E77" s="30">
        <f>'аксел-ры 1 и 2 и интегр-ие  '!Q80</f>
        <v>0.76999956400000003</v>
      </c>
      <c r="F77" s="30">
        <f>'аксел-ры 1 и 2 и интегр-ие  '!T80</f>
        <v>13.942231194322749</v>
      </c>
      <c r="G77" s="30">
        <f>'аксел-ры 1 и 2 и интегр-ие  '!AC80</f>
        <v>-0.32378354183877267</v>
      </c>
      <c r="H77" s="12"/>
      <c r="I77" s="30">
        <f t="shared" si="5"/>
        <v>0.76999956400000003</v>
      </c>
      <c r="J77" s="30">
        <f>DEGREES(ASIN((G77-C77)/'Начальные условия и парам.'!$B$15))</f>
        <v>-19.999999999999982</v>
      </c>
      <c r="L77" s="30">
        <f t="shared" si="6"/>
        <v>0.76999956400000003</v>
      </c>
      <c r="M77" s="30">
        <f>B77+SQRT(('Начальные условия и парам.'!$B$15+'Начальные условия и парам.'!$H$15)^2+('Начальные условия и парам.'!$K$15/2)^2)*COS(RADIANS(J77+'Начальные условия и парам.'!$E$19))</f>
        <v>18.043021820792053</v>
      </c>
      <c r="N77" s="30">
        <f>C77+SQRT(('Начальные условия и парам.'!$B$15+'Начальные условия и парам.'!$H$15)^2+('Начальные условия и парам.'!$K$15/2)^2)*SIN(RADIANS(J77+'Начальные условия и парам.'!$E$19))</f>
        <v>-0.75217149435553798</v>
      </c>
      <c r="P77" s="30">
        <f t="shared" si="7"/>
        <v>0.76999956400000003</v>
      </c>
      <c r="Q77" s="30">
        <f>B77+SQRT(('Начальные условия и парам.'!$B$15+'Начальные условия и парам.'!$H$15)^2+('Начальные условия и парам.'!$K$15/2)^2)*COS(RADIANS(J77-'Начальные условия и парам.'!$E$19))</f>
        <v>17.358981534140717</v>
      </c>
      <c r="R77" s="30">
        <f>C77+SQRT(('Начальные условия и парам.'!$B$15+'Начальные условия и парам.'!$H$15)^2+('Начальные условия и парам.'!$K$15/2)^2)*SIN(RADIANS(J77-'Начальные условия и парам.'!$E$19))</f>
        <v>-2.6315567359273544</v>
      </c>
      <c r="T77" s="30">
        <f t="shared" si="8"/>
        <v>0.76999956400000003</v>
      </c>
      <c r="U77" s="30">
        <f>B77+SQRT(('Начальные условия и парам.'!$E$15)^2+('Начальные условия и парам.'!$K$15/2)^2)*COS(RADIANS(J77+PI()+'Начальные условия и парам.'!$H$19))</f>
        <v>15.223926574360689</v>
      </c>
      <c r="V77" s="30">
        <f>C77+SQRT(('Начальные условия и парам.'!$E$15)^2+('Начальные условия и парам.'!$K$15/2)^2)*SIN(RADIANS(J77+PI()+'Начальные условия и парам.'!$H$19))</f>
        <v>0.44725849010124707</v>
      </c>
      <c r="X77" s="30">
        <f t="shared" si="9"/>
        <v>0.76999956400000003</v>
      </c>
      <c r="Y77" s="30">
        <f>B77+SQRT(('Начальные условия и парам.'!$E$15)^2+('Начальные условия и парам.'!$K$15/2)^2)*COS(RADIANS(J77+PI()-'Начальные условия и парам.'!$H$19))</f>
        <v>14.643911497211949</v>
      </c>
      <c r="Z77" s="30">
        <f>C77+SQRT(('Начальные условия и парам.'!$E$15)^2+('Начальные условия и парам.'!$K$15/2)^2)*SIN(RADIANS(J77+PI()-'Начальные условия и парам.'!$H$19))</f>
        <v>-1.4667902319223431</v>
      </c>
    </row>
    <row r="78" spans="1:26" x14ac:dyDescent="0.25">
      <c r="A78" s="30">
        <f>'аксел-ры 1 и 2 и интегр-ие  '!M81</f>
        <v>0.77999937500000005</v>
      </c>
      <c r="B78" s="30">
        <f>'аксел-ры 1 и 2 и интегр-ие  '!P81</f>
        <v>12.20320555475263</v>
      </c>
      <c r="C78" s="30">
        <f>'аксел-ры 1 и 2 и интегр-ие  '!Y81</f>
        <v>0.35695522149991632</v>
      </c>
      <c r="D78" s="12"/>
      <c r="E78" s="30">
        <f>'аксел-ры 1 и 2 и интегр-ие  '!Q81</f>
        <v>0.77999937500000005</v>
      </c>
      <c r="F78" s="30">
        <f>'аксел-ры 1 и 2 и интегр-ие  '!T81</f>
        <v>14.082590796324446</v>
      </c>
      <c r="G78" s="30">
        <f>'аксел-ры 1 и 2 и интегр-ие  '!AC81</f>
        <v>-0.32708506515142055</v>
      </c>
      <c r="H78" s="12"/>
      <c r="I78" s="30">
        <f t="shared" si="5"/>
        <v>0.77999937500000005</v>
      </c>
      <c r="J78" s="30">
        <f>DEGREES(ASIN((G78-C78)/'Начальные условия и парам.'!$B$15))</f>
        <v>-19.999999999999982</v>
      </c>
      <c r="L78" s="30">
        <f t="shared" si="6"/>
        <v>0.77999937500000005</v>
      </c>
      <c r="M78" s="30">
        <f>B78+SQRT(('Начальные условия и парам.'!$B$15+'Начальные условия и парам.'!$H$15)^2+('Начальные условия и парам.'!$K$15/2)^2)*COS(RADIANS(J78+'Начальные условия и парам.'!$E$19))</f>
        <v>18.183381422793751</v>
      </c>
      <c r="N78" s="30">
        <f>C78+SQRT(('Начальные условия и парам.'!$B$15+'Начальные условия и парам.'!$H$15)^2+('Начальные условия и парам.'!$K$15/2)^2)*SIN(RADIANS(J78+'Начальные условия и парам.'!$E$19))</f>
        <v>-0.75547301766818586</v>
      </c>
      <c r="P78" s="30">
        <f t="shared" si="7"/>
        <v>0.77999937500000005</v>
      </c>
      <c r="Q78" s="30">
        <f>B78+SQRT(('Начальные условия и парам.'!$B$15+'Начальные условия и парам.'!$H$15)^2+('Начальные условия и парам.'!$K$15/2)^2)*COS(RADIANS(J78-'Начальные условия и парам.'!$E$19))</f>
        <v>17.499341136142412</v>
      </c>
      <c r="R78" s="30">
        <f>C78+SQRT(('Начальные условия и парам.'!$B$15+'Начальные условия и парам.'!$H$15)^2+('Начальные условия и парам.'!$K$15/2)^2)*SIN(RADIANS(J78-'Начальные условия и парам.'!$E$19))</f>
        <v>-2.6348582592400023</v>
      </c>
      <c r="T78" s="30">
        <f t="shared" si="8"/>
        <v>0.77999937500000005</v>
      </c>
      <c r="U78" s="30">
        <f>B78+SQRT(('Начальные условия и парам.'!$E$15)^2+('Начальные условия и парам.'!$K$15/2)^2)*COS(RADIANS(J78+PI()+'Начальные условия и парам.'!$H$19))</f>
        <v>15.364286176362386</v>
      </c>
      <c r="V78" s="30">
        <f>C78+SQRT(('Начальные условия и парам.'!$E$15)^2+('Начальные условия и парам.'!$K$15/2)^2)*SIN(RADIANS(J78+PI()+'Начальные условия и парам.'!$H$19))</f>
        <v>0.44395696678859919</v>
      </c>
      <c r="X78" s="30">
        <f t="shared" si="9"/>
        <v>0.77999937500000005</v>
      </c>
      <c r="Y78" s="30">
        <f>B78+SQRT(('Начальные условия и парам.'!$E$15)^2+('Начальные условия и парам.'!$K$15/2)^2)*COS(RADIANS(J78+PI()-'Начальные условия и парам.'!$H$19))</f>
        <v>14.784271099213646</v>
      </c>
      <c r="Z78" s="30">
        <f>C78+SQRT(('Начальные условия и парам.'!$E$15)^2+('Начальные условия и парам.'!$K$15/2)^2)*SIN(RADIANS(J78+PI()-'Начальные условия и парам.'!$H$19))</f>
        <v>-1.470091755234991</v>
      </c>
    </row>
    <row r="79" spans="1:26" x14ac:dyDescent="0.25">
      <c r="A79" s="30">
        <f>'аксел-ры 1 и 2 и интегр-ие  '!M82</f>
        <v>0.78999924700000002</v>
      </c>
      <c r="B79" s="30">
        <f>'аксел-ры 1 и 2 и интегр-ие  '!P82</f>
        <v>12.342972790650201</v>
      </c>
      <c r="C79" s="30">
        <f>'аксел-ры 1 и 2 и интегр-ие  '!Y82</f>
        <v>0.35731969105190053</v>
      </c>
      <c r="D79" s="12"/>
      <c r="E79" s="30">
        <f>'аксел-ры 1 и 2 и интегр-ие  '!Q82</f>
        <v>0.78999924700000002</v>
      </c>
      <c r="F79" s="30">
        <f>'аксел-ры 1 и 2 и интегр-ие  '!T82</f>
        <v>14.222358032222019</v>
      </c>
      <c r="G79" s="30">
        <f>'аксел-ры 1 и 2 и интегр-ие  '!AC82</f>
        <v>-0.32672059559943722</v>
      </c>
      <c r="H79" s="12"/>
      <c r="I79" s="30">
        <f t="shared" si="5"/>
        <v>0.78999924700000002</v>
      </c>
      <c r="J79" s="30">
        <f>DEGREES(ASIN((G79-C79)/'Начальные условия и парам.'!$B$15))</f>
        <v>-20.000000000000011</v>
      </c>
      <c r="L79" s="30">
        <f t="shared" si="6"/>
        <v>0.78999924700000002</v>
      </c>
      <c r="M79" s="30">
        <f>B79+SQRT(('Начальные условия и парам.'!$B$15+'Начальные условия и парам.'!$H$15)^2+('Начальные условия и парам.'!$K$15/2)^2)*COS(RADIANS(J79+'Начальные условия и парам.'!$E$19))</f>
        <v>18.32314865869132</v>
      </c>
      <c r="N79" s="30">
        <f>C79+SQRT(('Начальные условия и парам.'!$B$15+'Начальные условия и парам.'!$H$15)^2+('Начальные условия и парам.'!$K$15/2)^2)*SIN(RADIANS(J79+'Начальные условия и парам.'!$E$19))</f>
        <v>-0.75510854811620454</v>
      </c>
      <c r="P79" s="30">
        <f t="shared" si="7"/>
        <v>0.78999924700000002</v>
      </c>
      <c r="Q79" s="30">
        <f>B79+SQRT(('Начальные условия и парам.'!$B$15+'Начальные условия и парам.'!$H$15)^2+('Начальные условия и парам.'!$K$15/2)^2)*COS(RADIANS(J79-'Начальные условия и парам.'!$E$19))</f>
        <v>17.639108372039981</v>
      </c>
      <c r="R79" s="30">
        <f>C79+SQRT(('Начальные условия и парам.'!$B$15+'Начальные условия и парам.'!$H$15)^2+('Начальные условия и парам.'!$K$15/2)^2)*SIN(RADIANS(J79-'Начальные условия и парам.'!$E$19))</f>
        <v>-2.6344937896880207</v>
      </c>
      <c r="T79" s="30">
        <f t="shared" si="8"/>
        <v>0.78999924700000002</v>
      </c>
      <c r="U79" s="30">
        <f>B79+SQRT(('Начальные условия и парам.'!$E$15)^2+('Начальные условия и парам.'!$K$15/2)^2)*COS(RADIANS(J79+PI()+'Начальные условия и парам.'!$H$19))</f>
        <v>15.504053412259957</v>
      </c>
      <c r="V79" s="30">
        <f>C79+SQRT(('Начальные условия и парам.'!$E$15)^2+('Начальные условия и парам.'!$K$15/2)^2)*SIN(RADIANS(J79+PI()+'Начальные условия и парам.'!$H$19))</f>
        <v>0.44432143634058185</v>
      </c>
      <c r="X79" s="30">
        <f t="shared" si="9"/>
        <v>0.78999924700000002</v>
      </c>
      <c r="Y79" s="30">
        <f>B79+SQRT(('Начальные условия и парам.'!$E$15)^2+('Начальные условия и парам.'!$K$15/2)^2)*COS(RADIANS(J79+PI()-'Начальные условия и парам.'!$H$19))</f>
        <v>14.924038335111215</v>
      </c>
      <c r="Z79" s="30">
        <f>C79+SQRT(('Начальные условия и парам.'!$E$15)^2+('Начальные условия и парам.'!$K$15/2)^2)*SIN(RADIANS(J79+PI()-'Начальные условия и парам.'!$H$19))</f>
        <v>-1.4697272856830081</v>
      </c>
    </row>
    <row r="80" spans="1:26" x14ac:dyDescent="0.25">
      <c r="A80" s="30">
        <f>'аксел-ры 1 и 2 и интегр-ие  '!M83</f>
        <v>0.79999911800000001</v>
      </c>
      <c r="B80" s="30">
        <f>'аксел-ры 1 и 2 и интегр-ие  '!P83</f>
        <v>12.482440637486167</v>
      </c>
      <c r="C80" s="30">
        <f>'аксел-ры 1 и 2 и интегр-ие  '!Y83</f>
        <v>0.36149482141276046</v>
      </c>
      <c r="D80" s="12"/>
      <c r="E80" s="30">
        <f>'аксел-ры 1 и 2 и интегр-ие  '!Q83</f>
        <v>0.79999911800000001</v>
      </c>
      <c r="F80" s="30">
        <f>'аксел-ры 1 и 2 и интегр-ие  '!T83</f>
        <v>14.361825879057983</v>
      </c>
      <c r="G80" s="30">
        <f>'аксел-ры 1 и 2 и интегр-ие  '!AC83</f>
        <v>-0.3225454652385773</v>
      </c>
      <c r="H80" s="12"/>
      <c r="I80" s="30">
        <f t="shared" si="5"/>
        <v>0.79999911800000001</v>
      </c>
      <c r="J80" s="30">
        <f>DEGREES(ASIN((G80-C80)/'Начальные условия и парам.'!$B$15))</f>
        <v>-20.000000000000011</v>
      </c>
      <c r="L80" s="30">
        <f t="shared" si="6"/>
        <v>0.79999911800000001</v>
      </c>
      <c r="M80" s="30">
        <f>B80+SQRT(('Начальные условия и парам.'!$B$15+'Начальные условия и парам.'!$H$15)^2+('Начальные условия и парам.'!$K$15/2)^2)*COS(RADIANS(J80+'Начальные условия и парам.'!$E$19))</f>
        <v>18.462616505527286</v>
      </c>
      <c r="N80" s="30">
        <f>C80+SQRT(('Начальные условия и парам.'!$B$15+'Начальные условия и парам.'!$H$15)^2+('Начальные условия и парам.'!$K$15/2)^2)*SIN(RADIANS(J80+'Начальные условия и парам.'!$E$19))</f>
        <v>-0.75093341775534461</v>
      </c>
      <c r="P80" s="30">
        <f t="shared" si="7"/>
        <v>0.79999911800000001</v>
      </c>
      <c r="Q80" s="30">
        <f>B80+SQRT(('Начальные условия и парам.'!$B$15+'Начальные условия и парам.'!$H$15)^2+('Начальные условия и парам.'!$K$15/2)^2)*COS(RADIANS(J80-'Начальные условия и парам.'!$E$19))</f>
        <v>17.778576218875948</v>
      </c>
      <c r="R80" s="30">
        <f>C80+SQRT(('Начальные условия и парам.'!$B$15+'Начальные условия и парам.'!$H$15)^2+('Начальные условия и парам.'!$K$15/2)^2)*SIN(RADIANS(J80-'Начальные условия и парам.'!$E$19))</f>
        <v>-2.6303186593271608</v>
      </c>
      <c r="T80" s="30">
        <f t="shared" si="8"/>
        <v>0.79999911800000001</v>
      </c>
      <c r="U80" s="30">
        <f>B80+SQRT(('Начальные условия и парам.'!$E$15)^2+('Начальные условия и парам.'!$K$15/2)^2)*COS(RADIANS(J80+PI()+'Начальные условия и парам.'!$H$19))</f>
        <v>15.643521259095923</v>
      </c>
      <c r="V80" s="30">
        <f>C80+SQRT(('Начальные условия и парам.'!$E$15)^2+('Начальные условия и парам.'!$K$15/2)^2)*SIN(RADIANS(J80+PI()+'Начальные условия и парам.'!$H$19))</f>
        <v>0.44849656670144178</v>
      </c>
      <c r="X80" s="30">
        <f t="shared" si="9"/>
        <v>0.79999911800000001</v>
      </c>
      <c r="Y80" s="30">
        <f>B80+SQRT(('Начальные условия и парам.'!$E$15)^2+('Начальные условия и парам.'!$K$15/2)^2)*COS(RADIANS(J80+PI()-'Начальные условия и парам.'!$H$19))</f>
        <v>15.063506181947181</v>
      </c>
      <c r="Z80" s="30">
        <f>C80+SQRT(('Начальные условия и парам.'!$E$15)^2+('Начальные условия и парам.'!$K$15/2)^2)*SIN(RADIANS(J80+PI()-'Начальные условия и парам.'!$H$19))</f>
        <v>-1.4655521553221482</v>
      </c>
    </row>
    <row r="81" spans="1:26" x14ac:dyDescent="0.25">
      <c r="A81" s="30">
        <f>'аксел-ры 1 и 2 и интегр-ие  '!M84</f>
        <v>0.80999952600000003</v>
      </c>
      <c r="B81" s="30">
        <f>'аксел-ры 1 и 2 и интегр-ие  '!P84</f>
        <v>12.621944773044635</v>
      </c>
      <c r="C81" s="30">
        <f>'аксел-ры 1 и 2 и интегр-ие  '!Y84</f>
        <v>0.36798391662410346</v>
      </c>
      <c r="D81" s="12"/>
      <c r="E81" s="30">
        <f>'аксел-ры 1 и 2 и интегр-ие  '!Q84</f>
        <v>0.80999952600000003</v>
      </c>
      <c r="F81" s="30">
        <f>'аксел-ры 1 и 2 и интегр-ие  '!T84</f>
        <v>14.501330014616453</v>
      </c>
      <c r="G81" s="30">
        <f>'аксел-ры 1 и 2 и интегр-ие  '!AC84</f>
        <v>-0.31605637002723341</v>
      </c>
      <c r="H81" s="12"/>
      <c r="I81" s="30">
        <f t="shared" si="5"/>
        <v>0.80999952600000003</v>
      </c>
      <c r="J81" s="30">
        <f>DEGREES(ASIN((G81-C81)/'Начальные условия и парам.'!$B$15))</f>
        <v>-19.999999999999982</v>
      </c>
      <c r="L81" s="30">
        <f t="shared" si="6"/>
        <v>0.80999952600000003</v>
      </c>
      <c r="M81" s="30">
        <f>B81+SQRT(('Начальные условия и парам.'!$B$15+'Начальные условия и парам.'!$H$15)^2+('Начальные условия и парам.'!$K$15/2)^2)*COS(RADIANS(J81+'Начальные условия и парам.'!$E$19))</f>
        <v>18.602120641085754</v>
      </c>
      <c r="N81" s="30">
        <f>C81+SQRT(('Начальные условия и парам.'!$B$15+'Начальные условия и парам.'!$H$15)^2+('Начальные условия и парам.'!$K$15/2)^2)*SIN(RADIANS(J81+'Начальные условия и парам.'!$E$19))</f>
        <v>-0.74444432254399873</v>
      </c>
      <c r="P81" s="30">
        <f t="shared" si="7"/>
        <v>0.80999952600000003</v>
      </c>
      <c r="Q81" s="30">
        <f>B81+SQRT(('Начальные условия и парам.'!$B$15+'Начальные условия и парам.'!$H$15)^2+('Начальные условия и парам.'!$K$15/2)^2)*COS(RADIANS(J81-'Начальные условия и парам.'!$E$19))</f>
        <v>17.918080354434416</v>
      </c>
      <c r="R81" s="30">
        <f>C81+SQRT(('Начальные условия и парам.'!$B$15+'Начальные условия и парам.'!$H$15)^2+('Начальные условия и парам.'!$K$15/2)^2)*SIN(RADIANS(J81-'Начальные условия и парам.'!$E$19))</f>
        <v>-2.6238295641158151</v>
      </c>
      <c r="T81" s="30">
        <f t="shared" si="8"/>
        <v>0.80999952600000003</v>
      </c>
      <c r="U81" s="30">
        <f>B81+SQRT(('Начальные условия и парам.'!$E$15)^2+('Начальные условия и парам.'!$K$15/2)^2)*COS(RADIANS(J81+PI()+'Начальные условия и парам.'!$H$19))</f>
        <v>15.783025394654391</v>
      </c>
      <c r="V81" s="30">
        <f>C81+SQRT(('Начальные условия и парам.'!$E$15)^2+('Начальные условия и парам.'!$K$15/2)^2)*SIN(RADIANS(J81+PI()+'Начальные условия и парам.'!$H$19))</f>
        <v>0.45498566191278633</v>
      </c>
      <c r="X81" s="30">
        <f t="shared" si="9"/>
        <v>0.80999952600000003</v>
      </c>
      <c r="Y81" s="30">
        <f>B81+SQRT(('Начальные условия и парам.'!$E$15)^2+('Начальные условия и парам.'!$K$15/2)^2)*COS(RADIANS(J81+PI()-'Начальные условия и парам.'!$H$19))</f>
        <v>15.203010317505651</v>
      </c>
      <c r="Z81" s="30">
        <f>C81+SQRT(('Начальные условия и парам.'!$E$15)^2+('Начальные условия и парам.'!$K$15/2)^2)*SIN(RADIANS(J81+PI()-'Начальные условия и парам.'!$H$19))</f>
        <v>-1.4590630601108039</v>
      </c>
    </row>
    <row r="82" spans="1:26" x14ac:dyDescent="0.25">
      <c r="A82" s="30">
        <f>'аксел-ры 1 и 2 и интегр-ие  '!M85</f>
        <v>0.81999933700000005</v>
      </c>
      <c r="B82" s="30">
        <f>'аксел-ры 1 и 2 и интегр-ие  '!P85</f>
        <v>12.761757800412528</v>
      </c>
      <c r="C82" s="30">
        <f>'аксел-ры 1 и 2 и интегр-ие  '!Y85</f>
        <v>0.37404002529435587</v>
      </c>
      <c r="D82" s="12"/>
      <c r="E82" s="30">
        <f>'аксел-ры 1 и 2 и интегр-ие  '!Q85</f>
        <v>0.81999933700000005</v>
      </c>
      <c r="F82" s="30">
        <f>'аксел-ры 1 и 2 и интегр-ие  '!T85</f>
        <v>14.641143041984344</v>
      </c>
      <c r="G82" s="30">
        <f>'аксел-ры 1 и 2 и интегр-ие  '!AC85</f>
        <v>-0.31000026135698189</v>
      </c>
      <c r="H82" s="12"/>
      <c r="I82" s="30">
        <f t="shared" si="5"/>
        <v>0.81999933700000005</v>
      </c>
      <c r="J82" s="30">
        <f>DEGREES(ASIN((G82-C82)/'Начальные условия и парам.'!$B$15))</f>
        <v>-20.000000000000011</v>
      </c>
      <c r="L82" s="30">
        <f t="shared" si="6"/>
        <v>0.81999933700000005</v>
      </c>
      <c r="M82" s="30">
        <f>B82+SQRT(('Начальные условия и парам.'!$B$15+'Начальные условия и парам.'!$H$15)^2+('Начальные условия и парам.'!$K$15/2)^2)*COS(RADIANS(J82+'Начальные условия и парам.'!$E$19))</f>
        <v>18.741933668453647</v>
      </c>
      <c r="N82" s="30">
        <f>C82+SQRT(('Начальные условия и парам.'!$B$15+'Начальные условия и парам.'!$H$15)^2+('Начальные условия и парам.'!$K$15/2)^2)*SIN(RADIANS(J82+'Начальные условия и парам.'!$E$19))</f>
        <v>-0.7383882138737492</v>
      </c>
      <c r="P82" s="30">
        <f t="shared" si="7"/>
        <v>0.81999933700000005</v>
      </c>
      <c r="Q82" s="30">
        <f>B82+SQRT(('Начальные условия и парам.'!$B$15+'Начальные условия и парам.'!$H$15)^2+('Начальные условия и парам.'!$K$15/2)^2)*COS(RADIANS(J82-'Начальные условия и парам.'!$E$19))</f>
        <v>18.057893381802309</v>
      </c>
      <c r="R82" s="30">
        <f>C82+SQRT(('Начальные условия и парам.'!$B$15+'Начальные условия и парам.'!$H$15)^2+('Начальные условия и парам.'!$K$15/2)^2)*SIN(RADIANS(J82-'Начальные условия и парам.'!$E$19))</f>
        <v>-2.6177734554455654</v>
      </c>
      <c r="T82" s="30">
        <f t="shared" si="8"/>
        <v>0.81999933700000005</v>
      </c>
      <c r="U82" s="30">
        <f>B82+SQRT(('Начальные условия и парам.'!$E$15)^2+('Начальные условия и парам.'!$K$15/2)^2)*COS(RADIANS(J82+PI()+'Начальные условия и парам.'!$H$19))</f>
        <v>15.922838422022284</v>
      </c>
      <c r="V82" s="30">
        <f>C82+SQRT(('Начальные условия и парам.'!$E$15)^2+('Начальные условия и парам.'!$K$15/2)^2)*SIN(RADIANS(J82+PI()+'Начальные условия и парам.'!$H$19))</f>
        <v>0.46104177058303719</v>
      </c>
      <c r="X82" s="30">
        <f t="shared" si="9"/>
        <v>0.81999933700000005</v>
      </c>
      <c r="Y82" s="30">
        <f>B82+SQRT(('Начальные условия и парам.'!$E$15)^2+('Начальные условия и парам.'!$K$15/2)^2)*COS(RADIANS(J82+PI()-'Начальные условия и парам.'!$H$19))</f>
        <v>15.342823344873542</v>
      </c>
      <c r="Z82" s="30">
        <f>C82+SQRT(('Начальные условия и парам.'!$E$15)^2+('Начальные условия и парам.'!$K$15/2)^2)*SIN(RADIANS(J82+PI()-'Начальные условия и парам.'!$H$19))</f>
        <v>-1.4530069514405528</v>
      </c>
    </row>
    <row r="83" spans="1:26" x14ac:dyDescent="0.25">
      <c r="A83" s="30">
        <f>'аксел-ры 1 и 2 и интегр-ие  '!M86</f>
        <v>0.82999920800000004</v>
      </c>
      <c r="B83" s="30">
        <f>'аксел-ры 1 и 2 и интегр-ие  '!P86</f>
        <v>12.902020011912198</v>
      </c>
      <c r="C83" s="30">
        <f>'аксел-ры 1 и 2 и интегр-ие  '!Y86</f>
        <v>0.37718179789166495</v>
      </c>
      <c r="D83" s="12"/>
      <c r="E83" s="30">
        <f>'аксел-ры 1 и 2 и интегр-ие  '!Q86</f>
        <v>0.82999920800000004</v>
      </c>
      <c r="F83" s="30">
        <f>'аксел-ры 1 и 2 и интегр-ие  '!T86</f>
        <v>14.781405253484014</v>
      </c>
      <c r="G83" s="30">
        <f>'аксел-ры 1 и 2 и интегр-ие  '!AC86</f>
        <v>-0.30685848875967192</v>
      </c>
      <c r="H83" s="12"/>
      <c r="I83" s="30">
        <f t="shared" si="5"/>
        <v>0.82999920800000004</v>
      </c>
      <c r="J83" s="30">
        <f>DEGREES(ASIN((G83-C83)/'Начальные условия и парам.'!$B$15))</f>
        <v>-19.999999999999982</v>
      </c>
      <c r="L83" s="30">
        <f t="shared" si="6"/>
        <v>0.82999920800000004</v>
      </c>
      <c r="M83" s="30">
        <f>B83+SQRT(('Начальные условия и парам.'!$B$15+'Начальные условия и парам.'!$H$15)^2+('Начальные условия и парам.'!$K$15/2)^2)*COS(RADIANS(J83+'Начальные условия и парам.'!$E$19))</f>
        <v>18.882195879953315</v>
      </c>
      <c r="N83" s="30">
        <f>C83+SQRT(('Начальные условия и парам.'!$B$15+'Начальные условия и парам.'!$H$15)^2+('Начальные условия и парам.'!$K$15/2)^2)*SIN(RADIANS(J83+'Начальные условия и парам.'!$E$19))</f>
        <v>-0.73524644127643723</v>
      </c>
      <c r="P83" s="30">
        <f t="shared" si="7"/>
        <v>0.82999920800000004</v>
      </c>
      <c r="Q83" s="30">
        <f>B83+SQRT(('Начальные условия и парам.'!$B$15+'Начальные условия и парам.'!$H$15)^2+('Начальные условия и парам.'!$K$15/2)^2)*COS(RADIANS(J83-'Начальные условия и парам.'!$E$19))</f>
        <v>18.19815559330198</v>
      </c>
      <c r="R83" s="30">
        <f>C83+SQRT(('Начальные условия и парам.'!$B$15+'Начальные условия и парам.'!$H$15)^2+('Начальные условия и парам.'!$K$15/2)^2)*SIN(RADIANS(J83-'Начальные условия и парам.'!$E$19))</f>
        <v>-2.6146316828482536</v>
      </c>
      <c r="T83" s="30">
        <f t="shared" si="8"/>
        <v>0.82999920800000004</v>
      </c>
      <c r="U83" s="30">
        <f>B83+SQRT(('Начальные условия и парам.'!$E$15)^2+('Начальные условия и парам.'!$K$15/2)^2)*COS(RADIANS(J83+PI()+'Начальные условия и парам.'!$H$19))</f>
        <v>16.063100633521955</v>
      </c>
      <c r="V83" s="30">
        <f>C83+SQRT(('Начальные условия и парам.'!$E$15)^2+('Начальные условия и парам.'!$K$15/2)^2)*SIN(RADIANS(J83+PI()+'Начальные условия и парам.'!$H$19))</f>
        <v>0.46418354318034782</v>
      </c>
      <c r="X83" s="30">
        <f t="shared" si="9"/>
        <v>0.82999920800000004</v>
      </c>
      <c r="Y83" s="30">
        <f>B83+SQRT(('Начальные условия и парам.'!$E$15)^2+('Начальные условия и парам.'!$K$15/2)^2)*COS(RADIANS(J83+PI()-'Начальные условия и парам.'!$H$19))</f>
        <v>15.483085556373213</v>
      </c>
      <c r="Z83" s="30">
        <f>C83+SQRT(('Начальные условия и парам.'!$E$15)^2+('Начальные условия и парам.'!$K$15/2)^2)*SIN(RADIANS(J83+PI()-'Начальные условия и парам.'!$H$19))</f>
        <v>-1.4498651788432424</v>
      </c>
    </row>
    <row r="84" spans="1:26" x14ac:dyDescent="0.25">
      <c r="A84" s="30">
        <f>'аксел-ры 1 и 2 и интегр-ие  '!M87</f>
        <v>0.83999908000000001</v>
      </c>
      <c r="B84" s="30">
        <f>'аксел-ры 1 и 2 и интегр-ие  '!P87</f>
        <v>13.042503356708689</v>
      </c>
      <c r="C84" s="30">
        <f>'аксел-ры 1 и 2 и интегр-ие  '!Y87</f>
        <v>0.37669395411384965</v>
      </c>
      <c r="D84" s="12"/>
      <c r="E84" s="30">
        <f>'аксел-ры 1 и 2 и интегр-ие  '!Q87</f>
        <v>0.83999908000000001</v>
      </c>
      <c r="F84" s="30">
        <f>'аксел-ры 1 и 2 и интегр-ие  '!T87</f>
        <v>14.921888598280505</v>
      </c>
      <c r="G84" s="30">
        <f>'аксел-ры 1 и 2 и интегр-ие  '!AC87</f>
        <v>-0.30734633253748811</v>
      </c>
      <c r="H84" s="12"/>
      <c r="I84" s="30">
        <f t="shared" si="5"/>
        <v>0.83999908000000001</v>
      </c>
      <c r="J84" s="30">
        <f>DEGREES(ASIN((G84-C84)/'Начальные условия и парам.'!$B$15))</f>
        <v>-20.000000000000011</v>
      </c>
      <c r="L84" s="30">
        <f t="shared" si="6"/>
        <v>0.83999908000000001</v>
      </c>
      <c r="M84" s="30">
        <f>B84+SQRT(('Начальные условия и парам.'!$B$15+'Начальные условия и парам.'!$H$15)^2+('Начальные условия и парам.'!$K$15/2)^2)*COS(RADIANS(J84+'Начальные условия и парам.'!$E$19))</f>
        <v>19.022679224749808</v>
      </c>
      <c r="N84" s="30">
        <f>C84+SQRT(('Начальные условия и парам.'!$B$15+'Начальные условия и парам.'!$H$15)^2+('Начальные условия и парам.'!$K$15/2)^2)*SIN(RADIANS(J84+'Начальные условия и парам.'!$E$19))</f>
        <v>-0.73573428505425542</v>
      </c>
      <c r="P84" s="30">
        <f t="shared" si="7"/>
        <v>0.83999908000000001</v>
      </c>
      <c r="Q84" s="30">
        <f>B84+SQRT(('Начальные условия и парам.'!$B$15+'Начальные условия и парам.'!$H$15)^2+('Начальные условия и парам.'!$K$15/2)^2)*COS(RADIANS(J84-'Начальные условия и парам.'!$E$19))</f>
        <v>18.33863893809847</v>
      </c>
      <c r="R84" s="30">
        <f>C84+SQRT(('Начальные условия и парам.'!$B$15+'Начальные условия и парам.'!$H$15)^2+('Начальные условия и парам.'!$K$15/2)^2)*SIN(RADIANS(J84-'Начальные условия и парам.'!$E$19))</f>
        <v>-2.6151195266260716</v>
      </c>
      <c r="T84" s="30">
        <f t="shared" si="8"/>
        <v>0.83999908000000001</v>
      </c>
      <c r="U84" s="30">
        <f>B84+SQRT(('Начальные условия и парам.'!$E$15)^2+('Начальные условия и парам.'!$K$15/2)^2)*COS(RADIANS(J84+PI()+'Начальные условия и парам.'!$H$19))</f>
        <v>16.203583978318445</v>
      </c>
      <c r="V84" s="30">
        <f>C84+SQRT(('Начальные условия и парам.'!$E$15)^2+('Начальные условия и парам.'!$K$15/2)^2)*SIN(RADIANS(J84+PI()+'Начальные условия и парам.'!$H$19))</f>
        <v>0.46369569940253097</v>
      </c>
      <c r="X84" s="30">
        <f t="shared" si="9"/>
        <v>0.83999908000000001</v>
      </c>
      <c r="Y84" s="30">
        <f>B84+SQRT(('Начальные условия и парам.'!$E$15)^2+('Начальные условия и парам.'!$K$15/2)^2)*COS(RADIANS(J84+PI()-'Начальные условия и парам.'!$H$19))</f>
        <v>15.623568901169703</v>
      </c>
      <c r="Z84" s="30">
        <f>C84+SQRT(('Начальные условия и парам.'!$E$15)^2+('Начальные условия и парам.'!$K$15/2)^2)*SIN(RADIANS(J84+PI()-'Начальные условия и парам.'!$H$19))</f>
        <v>-1.450353022621059</v>
      </c>
    </row>
    <row r="85" spans="1:26" x14ac:dyDescent="0.25">
      <c r="A85" s="30">
        <f>'аксел-ры 1 и 2 и интегр-ие  '!M88</f>
        <v>0.84999942799999995</v>
      </c>
      <c r="B85" s="30">
        <f>'аксел-ры 1 и 2 и интегр-ие  '!P88</f>
        <v>13.182706244027095</v>
      </c>
      <c r="C85" s="30">
        <f>'аксел-ры 1 и 2 и интегр-ие  '!Y88</f>
        <v>0.37388062112191189</v>
      </c>
      <c r="D85" s="12"/>
      <c r="E85" s="30">
        <f>'аксел-ры 1 и 2 и интегр-ие  '!Q88</f>
        <v>0.84999942799999995</v>
      </c>
      <c r="F85" s="30">
        <f>'аксел-ры 1 и 2 и интегр-ие  '!T88</f>
        <v>15.062091485598913</v>
      </c>
      <c r="G85" s="30">
        <f>'аксел-ры 1 и 2 и интегр-ие  '!AC88</f>
        <v>-0.31015966552942587</v>
      </c>
      <c r="H85" s="12"/>
      <c r="I85" s="30">
        <f t="shared" si="5"/>
        <v>0.84999942799999995</v>
      </c>
      <c r="J85" s="30">
        <f>DEGREES(ASIN((G85-C85)/'Начальные условия и парам.'!$B$15))</f>
        <v>-20.000000000000011</v>
      </c>
      <c r="L85" s="30">
        <f t="shared" si="6"/>
        <v>0.84999942799999995</v>
      </c>
      <c r="M85" s="30">
        <f>B85+SQRT(('Начальные условия и парам.'!$B$15+'Начальные условия и парам.'!$H$15)^2+('Начальные условия и парам.'!$K$15/2)^2)*COS(RADIANS(J85+'Начальные условия и парам.'!$E$19))</f>
        <v>19.162882112068214</v>
      </c>
      <c r="N85" s="30">
        <f>C85+SQRT(('Начальные условия и парам.'!$B$15+'Начальные условия и парам.'!$H$15)^2+('Начальные условия и парам.'!$K$15/2)^2)*SIN(RADIANS(J85+'Начальные условия и парам.'!$E$19))</f>
        <v>-0.73854761804619318</v>
      </c>
      <c r="P85" s="30">
        <f t="shared" si="7"/>
        <v>0.84999942799999995</v>
      </c>
      <c r="Q85" s="30">
        <f>B85+SQRT(('Начальные условия и парам.'!$B$15+'Начальные условия и парам.'!$H$15)^2+('Начальные условия и парам.'!$K$15/2)^2)*COS(RADIANS(J85-'Начальные условия и парам.'!$E$19))</f>
        <v>18.478841825416875</v>
      </c>
      <c r="R85" s="30">
        <f>C85+SQRT(('Начальные условия и парам.'!$B$15+'Начальные условия и парам.'!$H$15)^2+('Начальные условия и парам.'!$K$15/2)^2)*SIN(RADIANS(J85-'Начальные условия и парам.'!$E$19))</f>
        <v>-2.6179328596180094</v>
      </c>
      <c r="T85" s="30">
        <f t="shared" si="8"/>
        <v>0.84999942799999995</v>
      </c>
      <c r="U85" s="30">
        <f>B85+SQRT(('Начальные условия и парам.'!$E$15)^2+('Начальные условия и парам.'!$K$15/2)^2)*COS(RADIANS(J85+PI()+'Начальные условия и парам.'!$H$19))</f>
        <v>16.343786865636851</v>
      </c>
      <c r="V85" s="30">
        <f>C85+SQRT(('Начальные условия и парам.'!$E$15)^2+('Начальные условия и парам.'!$K$15/2)^2)*SIN(RADIANS(J85+PI()+'Начальные условия и парам.'!$H$19))</f>
        <v>0.46088236641059321</v>
      </c>
      <c r="X85" s="30">
        <f t="shared" si="9"/>
        <v>0.84999942799999995</v>
      </c>
      <c r="Y85" s="30">
        <f>B85+SQRT(('Начальные условия и парам.'!$E$15)^2+('Начальные условия и парам.'!$K$15/2)^2)*COS(RADIANS(J85+PI()-'Начальные условия и парам.'!$H$19))</f>
        <v>15.763771788488109</v>
      </c>
      <c r="Z85" s="30">
        <f>C85+SQRT(('Начальные условия и парам.'!$E$15)^2+('Начальные условия и парам.'!$K$15/2)^2)*SIN(RADIANS(J85+PI()-'Начальные условия и парам.'!$H$19))</f>
        <v>-1.4531663556129968</v>
      </c>
    </row>
    <row r="86" spans="1:26" x14ac:dyDescent="0.25">
      <c r="A86" s="30">
        <f>'аксел-ры 1 и 2 и интегр-ие  '!M89</f>
        <v>0.85999929900000005</v>
      </c>
      <c r="B86" s="30">
        <f>'аксел-ры 1 и 2 и интегр-ие  '!P89</f>
        <v>13.322245267630041</v>
      </c>
      <c r="C86" s="30">
        <f>'аксел-ры 1 и 2 и интегр-ие  '!Y89</f>
        <v>0.37104504864469412</v>
      </c>
      <c r="D86" s="12"/>
      <c r="E86" s="30">
        <f>'аксел-ры 1 и 2 и интегр-ие  '!Q89</f>
        <v>0.85999929900000005</v>
      </c>
      <c r="F86" s="30">
        <f>'аксел-ры 1 и 2 и интегр-ие  '!T89</f>
        <v>15.201630509201859</v>
      </c>
      <c r="G86" s="30">
        <f>'аксел-ры 1 и 2 и интегр-ие  '!AC89</f>
        <v>-0.31299523800664275</v>
      </c>
      <c r="H86" s="12"/>
      <c r="I86" s="30">
        <f t="shared" si="5"/>
        <v>0.85999929900000005</v>
      </c>
      <c r="J86" s="30">
        <f>DEGREES(ASIN((G86-C86)/'Начальные условия и парам.'!$B$15))</f>
        <v>-19.999999999999982</v>
      </c>
      <c r="L86" s="30">
        <f t="shared" si="6"/>
        <v>0.85999929900000005</v>
      </c>
      <c r="M86" s="30">
        <f>B86+SQRT(('Начальные условия и парам.'!$B$15+'Начальные условия и парам.'!$H$15)^2+('Начальные условия и парам.'!$K$15/2)^2)*COS(RADIANS(J86+'Начальные условия и парам.'!$E$19))</f>
        <v>19.30242113567116</v>
      </c>
      <c r="N86" s="30">
        <f>C86+SQRT(('Начальные условия и парам.'!$B$15+'Начальные условия и парам.'!$H$15)^2+('Начальные условия и парам.'!$K$15/2)^2)*SIN(RADIANS(J86+'Начальные условия и парам.'!$E$19))</f>
        <v>-0.74138319052340806</v>
      </c>
      <c r="P86" s="30">
        <f t="shared" si="7"/>
        <v>0.85999929900000005</v>
      </c>
      <c r="Q86" s="30">
        <f>B86+SQRT(('Начальные условия и парам.'!$B$15+'Начальные условия и парам.'!$H$15)^2+('Начальные условия и парам.'!$K$15/2)^2)*COS(RADIANS(J86-'Начальные условия и парам.'!$E$19))</f>
        <v>18.618380849019822</v>
      </c>
      <c r="R86" s="30">
        <f>C86+SQRT(('Начальные условия и парам.'!$B$15+'Начальные условия и парам.'!$H$15)^2+('Начальные условия и парам.'!$K$15/2)^2)*SIN(RADIANS(J86-'Начальные условия и парам.'!$E$19))</f>
        <v>-2.6207684320952245</v>
      </c>
      <c r="T86" s="30">
        <f t="shared" si="8"/>
        <v>0.85999929900000005</v>
      </c>
      <c r="U86" s="30">
        <f>B86+SQRT(('Начальные условия и парам.'!$E$15)^2+('Начальные условия и парам.'!$K$15/2)^2)*COS(RADIANS(J86+PI()+'Начальные условия и парам.'!$H$19))</f>
        <v>16.483325889239797</v>
      </c>
      <c r="V86" s="30">
        <f>C86+SQRT(('Начальные условия и парам.'!$E$15)^2+('Начальные условия и парам.'!$K$15/2)^2)*SIN(RADIANS(J86+PI()+'Начальные условия и парам.'!$H$19))</f>
        <v>0.45804679393337699</v>
      </c>
      <c r="X86" s="30">
        <f t="shared" si="9"/>
        <v>0.85999929900000005</v>
      </c>
      <c r="Y86" s="30">
        <f>B86+SQRT(('Начальные условия и парам.'!$E$15)^2+('Начальные условия и парам.'!$K$15/2)^2)*COS(RADIANS(J86+PI()-'Начальные условия и парам.'!$H$19))</f>
        <v>15.903310812091057</v>
      </c>
      <c r="Z86" s="30">
        <f>C86+SQRT(('Начальные условия и парам.'!$E$15)^2+('Начальные условия и парам.'!$K$15/2)^2)*SIN(RADIANS(J86+PI()-'Начальные условия и парам.'!$H$19))</f>
        <v>-1.4560019280902132</v>
      </c>
    </row>
    <row r="87" spans="1:26" x14ac:dyDescent="0.25">
      <c r="A87" s="30">
        <f>'аксел-ры 1 и 2 и интегр-ие  '!M90</f>
        <v>0.86999917000000004</v>
      </c>
      <c r="B87" s="30">
        <f>'аксел-ры 1 и 2 и интегр-ие  '!P90</f>
        <v>13.461132248142185</v>
      </c>
      <c r="C87" s="30">
        <f>'аксел-ры 1 и 2 и интегр-ие  '!Y90</f>
        <v>0.3703099218523036</v>
      </c>
      <c r="D87" s="12"/>
      <c r="E87" s="30">
        <f>'аксел-ры 1 и 2 и интегр-ие  '!Q90</f>
        <v>0.86999917000000004</v>
      </c>
      <c r="F87" s="30">
        <f>'аксел-ры 1 и 2 и интегр-ие  '!T90</f>
        <v>15.340517489714003</v>
      </c>
      <c r="G87" s="30">
        <f>'аксел-ры 1 и 2 и интегр-ие  '!AC90</f>
        <v>-0.31373036479903327</v>
      </c>
      <c r="H87" s="12"/>
      <c r="I87" s="30">
        <f t="shared" si="5"/>
        <v>0.86999917000000004</v>
      </c>
      <c r="J87" s="30">
        <f>DEGREES(ASIN((G87-C87)/'Начальные условия и парам.'!$B$15))</f>
        <v>-19.999999999999982</v>
      </c>
      <c r="L87" s="30">
        <f t="shared" si="6"/>
        <v>0.86999917000000004</v>
      </c>
      <c r="M87" s="30">
        <f>B87+SQRT(('Начальные условия и парам.'!$B$15+'Начальные условия и парам.'!$H$15)^2+('Начальные условия и парам.'!$K$15/2)^2)*COS(RADIANS(J87+'Начальные условия и парам.'!$E$19))</f>
        <v>19.441308116183304</v>
      </c>
      <c r="N87" s="30">
        <f>C87+SQRT(('Начальные условия и парам.'!$B$15+'Начальные условия и парам.'!$H$15)^2+('Начальные условия и парам.'!$K$15/2)^2)*SIN(RADIANS(J87+'Начальные условия и парам.'!$E$19))</f>
        <v>-0.74211831731579858</v>
      </c>
      <c r="P87" s="30">
        <f t="shared" si="7"/>
        <v>0.86999917000000004</v>
      </c>
      <c r="Q87" s="30">
        <f>B87+SQRT(('Начальные условия и парам.'!$B$15+'Начальные условия и парам.'!$H$15)^2+('Начальные условия и парам.'!$K$15/2)^2)*COS(RADIANS(J87-'Начальные условия и парам.'!$E$19))</f>
        <v>18.757267829531969</v>
      </c>
      <c r="R87" s="30">
        <f>C87+SQRT(('Начальные условия и парам.'!$B$15+'Начальные условия и парам.'!$H$15)^2+('Начальные условия и парам.'!$K$15/2)^2)*SIN(RADIANS(J87-'Начальные условия и парам.'!$E$19))</f>
        <v>-2.621503558887615</v>
      </c>
      <c r="T87" s="30">
        <f t="shared" si="8"/>
        <v>0.86999917000000004</v>
      </c>
      <c r="U87" s="30">
        <f>B87+SQRT(('Начальные условия и парам.'!$E$15)^2+('Начальные условия и парам.'!$K$15/2)^2)*COS(RADIANS(J87+PI()+'Начальные условия и парам.'!$H$19))</f>
        <v>16.622212869751941</v>
      </c>
      <c r="V87" s="30">
        <f>C87+SQRT(('Начальные условия и парам.'!$E$15)^2+('Начальные условия и парам.'!$K$15/2)^2)*SIN(RADIANS(J87+PI()+'Начальные условия и парам.'!$H$19))</f>
        <v>0.45731166714098648</v>
      </c>
      <c r="X87" s="30">
        <f t="shared" si="9"/>
        <v>0.86999917000000004</v>
      </c>
      <c r="Y87" s="30">
        <f>B87+SQRT(('Начальные условия и парам.'!$E$15)^2+('Начальные условия и парам.'!$K$15/2)^2)*COS(RADIANS(J87+PI()-'Начальные условия и парам.'!$H$19))</f>
        <v>16.042197792603201</v>
      </c>
      <c r="Z87" s="30">
        <f>C87+SQRT(('Начальные условия и парам.'!$E$15)^2+('Начальные условия и парам.'!$K$15/2)^2)*SIN(RADIANS(J87+PI()-'Начальные условия и парам.'!$H$19))</f>
        <v>-1.4567370548826037</v>
      </c>
    </row>
    <row r="88" spans="1:26" x14ac:dyDescent="0.25">
      <c r="A88" s="30">
        <f>'аксел-ры 1 и 2 и интегр-ие  '!M91</f>
        <v>0.87999904200000001</v>
      </c>
      <c r="B88" s="30">
        <f>'аксел-ры 1 и 2 и интегр-ие  '!P91</f>
        <v>13.599481651514152</v>
      </c>
      <c r="C88" s="30">
        <f>'аксел-ры 1 и 2 и интегр-ие  '!Y91</f>
        <v>0.3731297197492891</v>
      </c>
      <c r="D88" s="12"/>
      <c r="E88" s="30">
        <f>'аксел-ры 1 и 2 и интегр-ие  '!Q91</f>
        <v>0.87999904200000001</v>
      </c>
      <c r="F88" s="30">
        <f>'аксел-ры 1 и 2 и интегр-ие  '!T91</f>
        <v>15.478866893085968</v>
      </c>
      <c r="G88" s="30">
        <f>'аксел-ры 1 и 2 и интегр-ие  '!AC91</f>
        <v>-0.31091056690204866</v>
      </c>
      <c r="H88" s="12"/>
      <c r="I88" s="30">
        <f t="shared" si="5"/>
        <v>0.87999904200000001</v>
      </c>
      <c r="J88" s="30">
        <f>DEGREES(ASIN((G88-C88)/'Начальные условия и парам.'!$B$15))</f>
        <v>-20.000000000000011</v>
      </c>
      <c r="L88" s="30">
        <f t="shared" si="6"/>
        <v>0.87999904200000001</v>
      </c>
      <c r="M88" s="30">
        <f>B88+SQRT(('Начальные условия и парам.'!$B$15+'Начальные условия и парам.'!$H$15)^2+('Начальные условия и парам.'!$K$15/2)^2)*COS(RADIANS(J88+'Начальные условия и парам.'!$E$19))</f>
        <v>19.579657519555269</v>
      </c>
      <c r="N88" s="30">
        <f>C88+SQRT(('Начальные условия и парам.'!$B$15+'Начальные условия и парам.'!$H$15)^2+('Начальные условия и парам.'!$K$15/2)^2)*SIN(RADIANS(J88+'Начальные условия и парам.'!$E$19))</f>
        <v>-0.73929851941881597</v>
      </c>
      <c r="P88" s="30">
        <f t="shared" si="7"/>
        <v>0.87999904200000001</v>
      </c>
      <c r="Q88" s="30">
        <f>B88+SQRT(('Начальные условия и парам.'!$B$15+'Начальные условия и парам.'!$H$15)^2+('Начальные условия и парам.'!$K$15/2)^2)*COS(RADIANS(J88-'Начальные условия и парам.'!$E$19))</f>
        <v>18.895617232903934</v>
      </c>
      <c r="R88" s="30">
        <f>C88+SQRT(('Начальные условия и парам.'!$B$15+'Начальные условия и парам.'!$H$15)^2+('Начальные условия и парам.'!$K$15/2)^2)*SIN(RADIANS(J88-'Начальные условия и парам.'!$E$19))</f>
        <v>-2.6186837609906322</v>
      </c>
      <c r="T88" s="30">
        <f t="shared" si="8"/>
        <v>0.87999904200000001</v>
      </c>
      <c r="U88" s="30">
        <f>B88+SQRT(('Начальные условия и парам.'!$E$15)^2+('Начальные условия и парам.'!$K$15/2)^2)*COS(RADIANS(J88+PI()+'Начальные условия и парам.'!$H$19))</f>
        <v>16.760562273123909</v>
      </c>
      <c r="V88" s="30">
        <f>C88+SQRT(('Начальные условия и парам.'!$E$15)^2+('Начальные условия и парам.'!$K$15/2)^2)*SIN(RADIANS(J88+PI()+'Начальные условия и парам.'!$H$19))</f>
        <v>0.46013146503797042</v>
      </c>
      <c r="X88" s="30">
        <f t="shared" si="9"/>
        <v>0.87999904200000001</v>
      </c>
      <c r="Y88" s="30">
        <f>B88+SQRT(('Начальные условия и парам.'!$E$15)^2+('Начальные условия и парам.'!$K$15/2)^2)*COS(RADIANS(J88+PI()-'Начальные условия и парам.'!$H$19))</f>
        <v>16.180547195975166</v>
      </c>
      <c r="Z88" s="30">
        <f>C88+SQRT(('Начальные условия и парам.'!$E$15)^2+('Начальные условия и парам.'!$K$15/2)^2)*SIN(RADIANS(J88+PI()-'Начальные условия и парам.'!$H$19))</f>
        <v>-1.4539172569856196</v>
      </c>
    </row>
    <row r="89" spans="1:26" x14ac:dyDescent="0.25">
      <c r="A89" s="30">
        <f>'аксел-ры 1 и 2 и интегр-ие  '!M92</f>
        <v>0.88999938999999995</v>
      </c>
      <c r="B89" s="30">
        <f>'аксел-ры 1 и 2 и интегр-ие  '!P92</f>
        <v>13.737234777748608</v>
      </c>
      <c r="C89" s="30">
        <f>'аксел-ры 1 и 2 и интегр-ие  '!Y92</f>
        <v>0.3798852635090757</v>
      </c>
      <c r="D89" s="12"/>
      <c r="E89" s="30">
        <f>'аксел-ры 1 и 2 и интегр-ие  '!Q92</f>
        <v>0.88999938999999995</v>
      </c>
      <c r="F89" s="30">
        <f>'аксел-ры 1 и 2 и интегр-ие  '!T92</f>
        <v>15.616620019320425</v>
      </c>
      <c r="G89" s="30">
        <f>'аксел-ры 1 и 2 и интегр-ие  '!AC92</f>
        <v>-0.30415502314226206</v>
      </c>
      <c r="H89" s="12"/>
      <c r="I89" s="30">
        <f t="shared" si="5"/>
        <v>0.88999938999999995</v>
      </c>
      <c r="J89" s="30">
        <f>DEGREES(ASIN((G89-C89)/'Начальные условия и парам.'!$B$15))</f>
        <v>-20.000000000000011</v>
      </c>
      <c r="L89" s="30">
        <f t="shared" si="6"/>
        <v>0.88999938999999995</v>
      </c>
      <c r="M89" s="30">
        <f>B89+SQRT(('Начальные условия и парам.'!$B$15+'Начальные условия и парам.'!$H$15)^2+('Начальные условия и парам.'!$K$15/2)^2)*COS(RADIANS(J89+'Начальные условия и парам.'!$E$19))</f>
        <v>19.717410645789727</v>
      </c>
      <c r="N89" s="30">
        <f>C89+SQRT(('Начальные условия и парам.'!$B$15+'Начальные условия и парам.'!$H$15)^2+('Начальные условия и парам.'!$K$15/2)^2)*SIN(RADIANS(J89+'Начальные условия и парам.'!$E$19))</f>
        <v>-0.73254297565902937</v>
      </c>
      <c r="P89" s="30">
        <f t="shared" si="7"/>
        <v>0.88999938999999995</v>
      </c>
      <c r="Q89" s="30">
        <f>B89+SQRT(('Начальные условия и парам.'!$B$15+'Начальные условия и парам.'!$H$15)^2+('Начальные условия и парам.'!$K$15/2)^2)*COS(RADIANS(J89-'Начальные условия и парам.'!$E$19))</f>
        <v>19.033370359138388</v>
      </c>
      <c r="R89" s="30">
        <f>C89+SQRT(('Начальные условия и парам.'!$B$15+'Начальные условия и парам.'!$H$15)^2+('Начальные условия и парам.'!$K$15/2)^2)*SIN(RADIANS(J89-'Начальные условия и парам.'!$E$19))</f>
        <v>-2.6119282172308456</v>
      </c>
      <c r="T89" s="30">
        <f t="shared" si="8"/>
        <v>0.88999938999999995</v>
      </c>
      <c r="U89" s="30">
        <f>B89+SQRT(('Начальные условия и парам.'!$E$15)^2+('Начальные условия и парам.'!$K$15/2)^2)*COS(RADIANS(J89+PI()+'Начальные условия и парам.'!$H$19))</f>
        <v>16.898315399358363</v>
      </c>
      <c r="V89" s="30">
        <f>C89+SQRT(('Начальные условия и парам.'!$E$15)^2+('Начальные условия и парам.'!$K$15/2)^2)*SIN(RADIANS(J89+PI()+'Начальные условия и парам.'!$H$19))</f>
        <v>0.46688700879775702</v>
      </c>
      <c r="X89" s="30">
        <f t="shared" si="9"/>
        <v>0.88999938999999995</v>
      </c>
      <c r="Y89" s="30">
        <f>B89+SQRT(('Начальные условия и парам.'!$E$15)^2+('Начальные условия и парам.'!$K$15/2)^2)*COS(RADIANS(J89+PI()-'Начальные условия и парам.'!$H$19))</f>
        <v>16.318300322209623</v>
      </c>
      <c r="Z89" s="30">
        <f>C89+SQRT(('Начальные условия и парам.'!$E$15)^2+('Начальные условия и парам.'!$K$15/2)^2)*SIN(RADIANS(J89+PI()-'Начальные условия и парам.'!$H$19))</f>
        <v>-1.447161713225833</v>
      </c>
    </row>
    <row r="90" spans="1:26" x14ac:dyDescent="0.25">
      <c r="A90" s="30">
        <f>'аксел-ры 1 и 2 и интегр-ие  '!M93</f>
        <v>0.89999926100000005</v>
      </c>
      <c r="B90" s="30">
        <f>'аксел-ры 1 и 2 и интегр-ие  '!P93</f>
        <v>13.874184933358405</v>
      </c>
      <c r="C90" s="30">
        <f>'аксел-ры 1 и 2 и интегр-ие  '!Y93</f>
        <v>0.38939640886025817</v>
      </c>
      <c r="D90" s="12"/>
      <c r="E90" s="30">
        <f>'аксел-ры 1 и 2 и интегр-ие  '!Q93</f>
        <v>0.89999926100000005</v>
      </c>
      <c r="F90" s="30">
        <f>'аксел-ры 1 и 2 и интегр-ие  '!T93</f>
        <v>15.753570174930221</v>
      </c>
      <c r="G90" s="30">
        <f>'аксел-ры 1 и 2 и интегр-ие  '!AC93</f>
        <v>-0.2946438777910787</v>
      </c>
      <c r="H90" s="12"/>
      <c r="I90" s="30">
        <f t="shared" si="5"/>
        <v>0.89999926100000005</v>
      </c>
      <c r="J90" s="30">
        <f>DEGREES(ASIN((G90-C90)/'Начальные условия и парам.'!$B$15))</f>
        <v>-19.999999999999982</v>
      </c>
      <c r="L90" s="30">
        <f t="shared" si="6"/>
        <v>0.89999926100000005</v>
      </c>
      <c r="M90" s="30">
        <f>B90+SQRT(('Начальные условия и парам.'!$B$15+'Начальные условия и парам.'!$H$15)^2+('Начальные условия и парам.'!$K$15/2)^2)*COS(RADIANS(J90+'Начальные условия и парам.'!$E$19))</f>
        <v>19.854360801399523</v>
      </c>
      <c r="N90" s="30">
        <f>C90+SQRT(('Начальные условия и парам.'!$B$15+'Начальные условия и парам.'!$H$15)^2+('Начальные условия и парам.'!$K$15/2)^2)*SIN(RADIANS(J90+'Начальные условия и парам.'!$E$19))</f>
        <v>-0.72303183030784401</v>
      </c>
      <c r="P90" s="30">
        <f t="shared" si="7"/>
        <v>0.89999926100000005</v>
      </c>
      <c r="Q90" s="30">
        <f>B90+SQRT(('Начальные условия и парам.'!$B$15+'Начальные условия и парам.'!$H$15)^2+('Начальные условия и парам.'!$K$15/2)^2)*COS(RADIANS(J90-'Начальные условия и парам.'!$E$19))</f>
        <v>19.170320514748187</v>
      </c>
      <c r="R90" s="30">
        <f>C90+SQRT(('Начальные условия и парам.'!$B$15+'Начальные условия и парам.'!$H$15)^2+('Начальные условия и парам.'!$K$15/2)^2)*SIN(RADIANS(J90-'Начальные условия и парам.'!$E$19))</f>
        <v>-2.6024170718796604</v>
      </c>
      <c r="T90" s="30">
        <f t="shared" si="8"/>
        <v>0.89999926100000005</v>
      </c>
      <c r="U90" s="30">
        <f>B90+SQRT(('Начальные условия и парам.'!$E$15)^2+('Начальные условия и парам.'!$K$15/2)^2)*COS(RADIANS(J90+PI()+'Начальные условия и парам.'!$H$19))</f>
        <v>17.035265554968163</v>
      </c>
      <c r="V90" s="30">
        <f>C90+SQRT(('Начальные условия и парам.'!$E$15)^2+('Начальные условия и парам.'!$K$15/2)^2)*SIN(RADIANS(J90+PI()+'Начальные условия и парам.'!$H$19))</f>
        <v>0.47639815414894104</v>
      </c>
      <c r="X90" s="30">
        <f t="shared" si="9"/>
        <v>0.89999926100000005</v>
      </c>
      <c r="Y90" s="30">
        <f>B90+SQRT(('Начальные условия и парам.'!$E$15)^2+('Начальные условия и парам.'!$K$15/2)^2)*COS(RADIANS(J90+PI()-'Начальные условия и парам.'!$H$19))</f>
        <v>16.455250477819419</v>
      </c>
      <c r="Z90" s="30">
        <f>C90+SQRT(('Начальные условия и парам.'!$E$15)^2+('Начальные условия и парам.'!$K$15/2)^2)*SIN(RADIANS(J90+PI()-'Начальные условия и парам.'!$H$19))</f>
        <v>-1.4376505678746492</v>
      </c>
    </row>
    <row r="91" spans="1:26" x14ac:dyDescent="0.25">
      <c r="A91" s="30">
        <f>'аксел-ры 1 и 2 и интегр-ие  '!M94</f>
        <v>0.90999913200000004</v>
      </c>
      <c r="B91" s="30">
        <f>'аксел-ры 1 и 2 и интегр-ие  '!P94</f>
        <v>14.010332087796323</v>
      </c>
      <c r="C91" s="30">
        <f>'аксел-ры 1 и 2 и интегр-ие  '!Y94</f>
        <v>0.39938055606684308</v>
      </c>
      <c r="D91" s="12"/>
      <c r="E91" s="30">
        <f>'аксел-ры 1 и 2 и интегр-ие  '!Q94</f>
        <v>0.90999913200000004</v>
      </c>
      <c r="F91" s="30">
        <f>'аксел-ры 1 и 2 и интегр-ие  '!T94</f>
        <v>15.889717329368139</v>
      </c>
      <c r="G91" s="30">
        <f>'аксел-ры 1 и 2 и интегр-ие  '!AC94</f>
        <v>-0.28465973058449467</v>
      </c>
      <c r="H91" s="12"/>
      <c r="I91" s="30">
        <f t="shared" si="5"/>
        <v>0.90999913200000004</v>
      </c>
      <c r="J91" s="30">
        <f>DEGREES(ASIN((G91-C91)/'Начальные условия и парам.'!$B$15))</f>
        <v>-20.000000000000011</v>
      </c>
      <c r="L91" s="30">
        <f t="shared" si="6"/>
        <v>0.90999913200000004</v>
      </c>
      <c r="M91" s="30">
        <f>B91+SQRT(('Начальные условия и парам.'!$B$15+'Начальные условия и парам.'!$H$15)^2+('Начальные условия и парам.'!$K$15/2)^2)*COS(RADIANS(J91+'Начальные условия и парам.'!$E$19))</f>
        <v>19.99050795583744</v>
      </c>
      <c r="N91" s="30">
        <f>C91+SQRT(('Начальные условия и парам.'!$B$15+'Начальные условия и парам.'!$H$15)^2+('Начальные условия и парам.'!$K$15/2)^2)*SIN(RADIANS(J91+'Начальные условия и парам.'!$E$19))</f>
        <v>-0.71304768310126199</v>
      </c>
      <c r="P91" s="30">
        <f t="shared" si="7"/>
        <v>0.90999913200000004</v>
      </c>
      <c r="Q91" s="30">
        <f>B91+SQRT(('Начальные условия и парам.'!$B$15+'Начальные условия и парам.'!$H$15)^2+('Начальные условия и парам.'!$K$15/2)^2)*COS(RADIANS(J91-'Начальные условия и парам.'!$E$19))</f>
        <v>19.306467669186105</v>
      </c>
      <c r="R91" s="30">
        <f>C91+SQRT(('Начальные условия и парам.'!$B$15+'Начальные условия и парам.'!$H$15)^2+('Начальные условия и парам.'!$K$15/2)^2)*SIN(RADIANS(J91-'Начальные условия и парам.'!$E$19))</f>
        <v>-2.5924329246730782</v>
      </c>
      <c r="T91" s="30">
        <f t="shared" si="8"/>
        <v>0.90999913200000004</v>
      </c>
      <c r="U91" s="30">
        <f>B91+SQRT(('Начальные условия и парам.'!$E$15)^2+('Начальные условия и парам.'!$K$15/2)^2)*COS(RADIANS(J91+PI()+'Начальные условия и парам.'!$H$19))</f>
        <v>17.171412709406081</v>
      </c>
      <c r="V91" s="30">
        <f>C91+SQRT(('Начальные условия и парам.'!$E$15)^2+('Начальные условия и парам.'!$K$15/2)^2)*SIN(RADIANS(J91+PI()+'Начальные условия и парам.'!$H$19))</f>
        <v>0.4863823013555244</v>
      </c>
      <c r="X91" s="30">
        <f t="shared" si="9"/>
        <v>0.90999913200000004</v>
      </c>
      <c r="Y91" s="30">
        <f>B91+SQRT(('Начальные условия и парам.'!$E$15)^2+('Начальные условия и парам.'!$K$15/2)^2)*COS(RADIANS(J91+PI()-'Начальные условия и парам.'!$H$19))</f>
        <v>16.591397632257337</v>
      </c>
      <c r="Z91" s="30">
        <f>C91+SQRT(('Начальные условия и парам.'!$E$15)^2+('Начальные условия и парам.'!$K$15/2)^2)*SIN(RADIANS(J91+PI()-'Начальные условия и парам.'!$H$19))</f>
        <v>-1.4276664206680656</v>
      </c>
    </row>
    <row r="92" spans="1:26" x14ac:dyDescent="0.25">
      <c r="A92" s="30">
        <f>'аксел-ры 1 и 2 и интегр-ие  '!M95</f>
        <v>0.91999900300000004</v>
      </c>
      <c r="B92" s="30">
        <f>'аксел-ры 1 и 2 и интегр-ие  '!P95</f>
        <v>14.146036956690416</v>
      </c>
      <c r="C92" s="30">
        <f>'аксел-ры 1 и 2 и интегр-ие  '!Y95</f>
        <v>0.4080578066667524</v>
      </c>
      <c r="D92" s="12"/>
      <c r="E92" s="30">
        <f>'аксел-ры 1 и 2 и интегр-ие  '!Q95</f>
        <v>0.91999900300000004</v>
      </c>
      <c r="F92" s="30">
        <f>'аксел-ры 1 и 2 и интегр-ие  '!T95</f>
        <v>16.025422198262234</v>
      </c>
      <c r="G92" s="30">
        <f>'аксел-ры 1 и 2 и интегр-ие  '!AC95</f>
        <v>-0.27598247998458536</v>
      </c>
      <c r="H92" s="12"/>
      <c r="I92" s="30">
        <f t="shared" si="5"/>
        <v>0.91999900300000004</v>
      </c>
      <c r="J92" s="30">
        <f>DEGREES(ASIN((G92-C92)/'Начальные условия и парам.'!$B$15))</f>
        <v>-20.000000000000011</v>
      </c>
      <c r="L92" s="30">
        <f t="shared" si="6"/>
        <v>0.91999900300000004</v>
      </c>
      <c r="M92" s="30">
        <f>B92+SQRT(('Начальные условия и парам.'!$B$15+'Начальные условия и парам.'!$H$15)^2+('Начальные условия и парам.'!$K$15/2)^2)*COS(RADIANS(J92+'Начальные условия и парам.'!$E$19))</f>
        <v>20.126212824731535</v>
      </c>
      <c r="N92" s="30">
        <f>C92+SQRT(('Начальные условия и парам.'!$B$15+'Начальные условия и парам.'!$H$15)^2+('Начальные условия и парам.'!$K$15/2)^2)*SIN(RADIANS(J92+'Начальные условия и парам.'!$E$19))</f>
        <v>-0.70437043250135267</v>
      </c>
      <c r="P92" s="30">
        <f t="shared" si="7"/>
        <v>0.91999900300000004</v>
      </c>
      <c r="Q92" s="30">
        <f>B92+SQRT(('Начальные условия и парам.'!$B$15+'Начальные условия и парам.'!$H$15)^2+('Начальные условия и парам.'!$K$15/2)^2)*COS(RADIANS(J92-'Начальные условия и парам.'!$E$19))</f>
        <v>19.442172538080197</v>
      </c>
      <c r="R92" s="30">
        <f>C92+SQRT(('Начальные условия и парам.'!$B$15+'Начальные условия и парам.'!$H$15)^2+('Начальные условия и парам.'!$K$15/2)^2)*SIN(RADIANS(J92-'Начальные условия и парам.'!$E$19))</f>
        <v>-2.5837556740731689</v>
      </c>
      <c r="T92" s="30">
        <f t="shared" si="8"/>
        <v>0.91999900300000004</v>
      </c>
      <c r="U92" s="30">
        <f>B92+SQRT(('Начальные условия и парам.'!$E$15)^2+('Начальные условия и парам.'!$K$15/2)^2)*COS(RADIANS(J92+PI()+'Начальные условия и парам.'!$H$19))</f>
        <v>17.307117578300172</v>
      </c>
      <c r="V92" s="30">
        <f>C92+SQRT(('Начальные условия и парам.'!$E$15)^2+('Начальные условия и парам.'!$K$15/2)^2)*SIN(RADIANS(J92+PI()+'Начальные условия и парам.'!$H$19))</f>
        <v>0.49505955195543372</v>
      </c>
      <c r="X92" s="30">
        <f t="shared" si="9"/>
        <v>0.91999900300000004</v>
      </c>
      <c r="Y92" s="30">
        <f>B92+SQRT(('Начальные условия и парам.'!$E$15)^2+('Начальные условия и парам.'!$K$15/2)^2)*COS(RADIANS(J92+PI()-'Начальные условия и парам.'!$H$19))</f>
        <v>16.727102501151428</v>
      </c>
      <c r="Z92" s="30">
        <f>C92+SQRT(('Начальные условия и парам.'!$E$15)^2+('Начальные условия и парам.'!$K$15/2)^2)*SIN(RADIANS(J92+PI()-'Начальные условия и парам.'!$H$19))</f>
        <v>-1.4189891700681563</v>
      </c>
    </row>
    <row r="93" spans="1:26" x14ac:dyDescent="0.25">
      <c r="A93" s="30">
        <f>'аксел-ры 1 и 2 и интегр-ие  '!M96</f>
        <v>0.92999935199999995</v>
      </c>
      <c r="B93" s="30">
        <f>'аксел-ры 1 и 2 и интегр-ие  '!P96</f>
        <v>14.281838833589221</v>
      </c>
      <c r="C93" s="30">
        <f>'аксел-ры 1 и 2 и интегр-ие  '!Y96</f>
        <v>0.41512130521776403</v>
      </c>
      <c r="D93" s="12"/>
      <c r="E93" s="30">
        <f>'аксел-ры 1 и 2 и интегр-ие  '!Q96</f>
        <v>0.92999935199999995</v>
      </c>
      <c r="F93" s="30">
        <f>'аксел-ры 1 и 2 и интегр-ие  '!T96</f>
        <v>16.161224075161037</v>
      </c>
      <c r="G93" s="30">
        <f>'аксел-ры 1 и 2 и интегр-ие  '!AC96</f>
        <v>-0.26891898143357285</v>
      </c>
      <c r="H93" s="12"/>
      <c r="I93" s="30">
        <f t="shared" si="5"/>
        <v>0.92999935199999995</v>
      </c>
      <c r="J93" s="30">
        <f>DEGREES(ASIN((G93-C93)/'Начальные условия и парам.'!$B$15))</f>
        <v>-19.999999999999982</v>
      </c>
      <c r="L93" s="30">
        <f t="shared" si="6"/>
        <v>0.92999935199999995</v>
      </c>
      <c r="M93" s="30">
        <f>B93+SQRT(('Начальные условия и парам.'!$B$15+'Начальные условия и парам.'!$H$15)^2+('Начальные условия и парам.'!$K$15/2)^2)*COS(RADIANS(J93+'Начальные условия и парам.'!$E$19))</f>
        <v>20.262014701630342</v>
      </c>
      <c r="N93" s="30">
        <f>C93+SQRT(('Начальные условия и парам.'!$B$15+'Начальные условия и парам.'!$H$15)^2+('Начальные условия и парам.'!$K$15/2)^2)*SIN(RADIANS(J93+'Начальные условия и парам.'!$E$19))</f>
        <v>-0.69730693395033816</v>
      </c>
      <c r="P93" s="30">
        <f t="shared" si="7"/>
        <v>0.92999935199999995</v>
      </c>
      <c r="Q93" s="30">
        <f>B93+SQRT(('Начальные условия и парам.'!$B$15+'Начальные условия и парам.'!$H$15)^2+('Начальные условия и парам.'!$K$15/2)^2)*COS(RADIANS(J93-'Начальные условия и парам.'!$E$19))</f>
        <v>19.577974414979003</v>
      </c>
      <c r="R93" s="30">
        <f>C93+SQRT(('Начальные условия и парам.'!$B$15+'Начальные условия и парам.'!$H$15)^2+('Начальные условия и парам.'!$K$15/2)^2)*SIN(RADIANS(J93-'Начальные условия и парам.'!$E$19))</f>
        <v>-2.5766921755221546</v>
      </c>
      <c r="T93" s="30">
        <f t="shared" si="8"/>
        <v>0.92999935199999995</v>
      </c>
      <c r="U93" s="30">
        <f>B93+SQRT(('Начальные условия и парам.'!$E$15)^2+('Начальные условия и парам.'!$K$15/2)^2)*COS(RADIANS(J93+PI()+'Начальные условия и парам.'!$H$19))</f>
        <v>17.442919455198979</v>
      </c>
      <c r="V93" s="30">
        <f>C93+SQRT(('Начальные условия и парам.'!$E$15)^2+('Начальные условия и парам.'!$K$15/2)^2)*SIN(RADIANS(J93+PI()+'Начальные условия и парам.'!$H$19))</f>
        <v>0.5021230505064469</v>
      </c>
      <c r="X93" s="30">
        <f t="shared" si="9"/>
        <v>0.92999935199999995</v>
      </c>
      <c r="Y93" s="30">
        <f>B93+SQRT(('Начальные условия и парам.'!$E$15)^2+('Начальные условия и парам.'!$K$15/2)^2)*COS(RADIANS(J93+PI()-'Начальные условия и парам.'!$H$19))</f>
        <v>16.862904378050235</v>
      </c>
      <c r="Z93" s="30">
        <f>C93+SQRT(('Начальные условия и парам.'!$E$15)^2+('Начальные условия и парам.'!$K$15/2)^2)*SIN(RADIANS(J93+PI()-'Начальные условия и парам.'!$H$19))</f>
        <v>-1.4119256715171433</v>
      </c>
    </row>
    <row r="94" spans="1:26" x14ac:dyDescent="0.25">
      <c r="A94" s="30">
        <f>'аксел-ры 1 и 2 и интегр-ие  '!M97</f>
        <v>0.93999922300000005</v>
      </c>
      <c r="B94" s="30">
        <f>'аксел-ры 1 и 2 и интегр-ие  '!P97</f>
        <v>14.418010114815417</v>
      </c>
      <c r="C94" s="30">
        <f>'аксел-ры 1 и 2 и интегр-ие  '!Y97</f>
        <v>0.42117185034242244</v>
      </c>
      <c r="D94" s="12"/>
      <c r="E94" s="30">
        <f>'аксел-ры 1 и 2 и интегр-ие  '!Q97</f>
        <v>0.93999922300000005</v>
      </c>
      <c r="F94" s="30">
        <f>'аксел-ры 1 и 2 и интегр-ие  '!T97</f>
        <v>16.297395356387234</v>
      </c>
      <c r="G94" s="30">
        <f>'аксел-ры 1 и 2 и интегр-ие  '!AC97</f>
        <v>-0.26286843630891532</v>
      </c>
      <c r="H94" s="12"/>
      <c r="I94" s="30">
        <f t="shared" si="5"/>
        <v>0.93999922300000005</v>
      </c>
      <c r="J94" s="30">
        <f>DEGREES(ASIN((G94-C94)/'Начальные условия и парам.'!$B$15))</f>
        <v>-20.000000000000011</v>
      </c>
      <c r="L94" s="30">
        <f t="shared" si="6"/>
        <v>0.93999922300000005</v>
      </c>
      <c r="M94" s="30">
        <f>B94+SQRT(('Начальные условия и парам.'!$B$15+'Начальные условия и парам.'!$H$15)^2+('Начальные условия и парам.'!$K$15/2)^2)*COS(RADIANS(J94+'Начальные условия и парам.'!$E$19))</f>
        <v>20.398185982856536</v>
      </c>
      <c r="N94" s="30">
        <f>C94+SQRT(('Начальные условия и парам.'!$B$15+'Начальные условия и парам.'!$H$15)^2+('Начальные условия и парам.'!$K$15/2)^2)*SIN(RADIANS(J94+'Начальные условия и парам.'!$E$19))</f>
        <v>-0.69125638882568263</v>
      </c>
      <c r="P94" s="30">
        <f t="shared" si="7"/>
        <v>0.93999922300000005</v>
      </c>
      <c r="Q94" s="30">
        <f>B94+SQRT(('Начальные условия и парам.'!$B$15+'Начальные условия и парам.'!$H$15)^2+('Начальные условия и парам.'!$K$15/2)^2)*COS(RADIANS(J94-'Начальные условия и парам.'!$E$19))</f>
        <v>19.714145696205197</v>
      </c>
      <c r="R94" s="30">
        <f>C94+SQRT(('Начальные условия и парам.'!$B$15+'Начальные условия и парам.'!$H$15)^2+('Начальные условия и парам.'!$K$15/2)^2)*SIN(RADIANS(J94-'Начальные условия и парам.'!$E$19))</f>
        <v>-2.5706416303974988</v>
      </c>
      <c r="T94" s="30">
        <f t="shared" si="8"/>
        <v>0.93999922300000005</v>
      </c>
      <c r="U94" s="30">
        <f>B94+SQRT(('Начальные условия и парам.'!$E$15)^2+('Начальные условия и парам.'!$K$15/2)^2)*COS(RADIANS(J94+PI()+'Начальные условия и парам.'!$H$19))</f>
        <v>17.579090736425172</v>
      </c>
      <c r="V94" s="30">
        <f>C94+SQRT(('Начальные условия и парам.'!$E$15)^2+('Начальные условия и парам.'!$K$15/2)^2)*SIN(RADIANS(J94+PI()+'Начальные условия и парам.'!$H$19))</f>
        <v>0.50817359563110376</v>
      </c>
      <c r="X94" s="30">
        <f t="shared" si="9"/>
        <v>0.93999922300000005</v>
      </c>
      <c r="Y94" s="30">
        <f>B94+SQRT(('Начальные условия и парам.'!$E$15)^2+('Начальные условия и парам.'!$K$15/2)^2)*COS(RADIANS(J94+PI()-'Начальные условия и парам.'!$H$19))</f>
        <v>16.999075659276428</v>
      </c>
      <c r="Z94" s="30">
        <f>C94+SQRT(('Начальные условия и парам.'!$E$15)^2+('Начальные условия и парам.'!$K$15/2)^2)*SIN(RADIANS(J94+PI()-'Начальные условия и парам.'!$H$19))</f>
        <v>-1.4058751263924862</v>
      </c>
    </row>
    <row r="95" spans="1:26" x14ac:dyDescent="0.25">
      <c r="A95" s="30">
        <f>'аксел-ры 1 и 2 и интегр-ие  '!M98</f>
        <v>0.94999909400000004</v>
      </c>
      <c r="B95" s="30">
        <f>'аксел-ры 1 и 2 и интегр-ие  '!P98</f>
        <v>14.55441459257786</v>
      </c>
      <c r="C95" s="30">
        <f>'аксел-ры 1 и 2 и интегр-ие  '!Y98</f>
        <v>0.4268078275235041</v>
      </c>
      <c r="D95" s="12"/>
      <c r="E95" s="30">
        <f>'аксел-ры 1 и 2 и интегр-ие  '!Q98</f>
        <v>0.94999909400000004</v>
      </c>
      <c r="F95" s="30">
        <f>'аксел-ры 1 и 2 и интегр-ие  '!T98</f>
        <v>16.433799834149678</v>
      </c>
      <c r="G95" s="30">
        <f>'аксел-ры 1 и 2 и интегр-ие  '!AC98</f>
        <v>-0.25723245912783277</v>
      </c>
      <c r="H95" s="12"/>
      <c r="I95" s="30">
        <f t="shared" si="5"/>
        <v>0.94999909400000004</v>
      </c>
      <c r="J95" s="30">
        <f>DEGREES(ASIN((G95-C95)/'Начальные условия и парам.'!$B$15))</f>
        <v>-19.999999999999982</v>
      </c>
      <c r="L95" s="30">
        <f t="shared" si="6"/>
        <v>0.94999909400000004</v>
      </c>
      <c r="M95" s="30">
        <f>B95+SQRT(('Начальные условия и парам.'!$B$15+'Начальные условия и парам.'!$H$15)^2+('Начальные условия и парам.'!$K$15/2)^2)*COS(RADIANS(J95+'Начальные условия и парам.'!$E$19))</f>
        <v>20.534590460618979</v>
      </c>
      <c r="N95" s="30">
        <f>C95+SQRT(('Начальные условия и парам.'!$B$15+'Начальные условия и парам.'!$H$15)^2+('Начальные условия и парам.'!$K$15/2)^2)*SIN(RADIANS(J95+'Начальные условия и парам.'!$E$19))</f>
        <v>-0.68562041164459808</v>
      </c>
      <c r="P95" s="30">
        <f t="shared" si="7"/>
        <v>0.94999909400000004</v>
      </c>
      <c r="Q95" s="30">
        <f>B95+SQRT(('Начальные условия и парам.'!$B$15+'Начальные условия и парам.'!$H$15)^2+('Начальные условия и парам.'!$K$15/2)^2)*COS(RADIANS(J95-'Начальные условия и парам.'!$E$19))</f>
        <v>19.85055017396764</v>
      </c>
      <c r="R95" s="30">
        <f>C95+SQRT(('Начальные условия и парам.'!$B$15+'Начальные условия и парам.'!$H$15)^2+('Начальные условия и парам.'!$K$15/2)^2)*SIN(RADIANS(J95-'Начальные условия и парам.'!$E$19))</f>
        <v>-2.5650056532164145</v>
      </c>
      <c r="T95" s="30">
        <f t="shared" si="8"/>
        <v>0.94999909400000004</v>
      </c>
      <c r="U95" s="30">
        <f>B95+SQRT(('Начальные условия и парам.'!$E$15)^2+('Начальные условия и парам.'!$K$15/2)^2)*COS(RADIANS(J95+PI()+'Начальные условия и парам.'!$H$19))</f>
        <v>17.715495214187616</v>
      </c>
      <c r="V95" s="30">
        <f>C95+SQRT(('Начальные условия и парам.'!$E$15)^2+('Начальные условия и парам.'!$K$15/2)^2)*SIN(RADIANS(J95+PI()+'Начальные условия и парам.'!$H$19))</f>
        <v>0.51380957281218698</v>
      </c>
      <c r="X95" s="30">
        <f t="shared" si="9"/>
        <v>0.94999909400000004</v>
      </c>
      <c r="Y95" s="30">
        <f>B95+SQRT(('Начальные условия и парам.'!$E$15)^2+('Начальные условия и парам.'!$K$15/2)^2)*COS(RADIANS(J95+PI()-'Начальные условия и парам.'!$H$19))</f>
        <v>17.135480137038876</v>
      </c>
      <c r="Z95" s="30">
        <f>C95+SQRT(('Начальные условия и парам.'!$E$15)^2+('Начальные условия и парам.'!$K$15/2)^2)*SIN(RADIANS(J95+PI()-'Начальные условия и парам.'!$H$19))</f>
        <v>-1.4002391492114032</v>
      </c>
    </row>
    <row r="96" spans="1:26" x14ac:dyDescent="0.25">
      <c r="A96" s="30">
        <f>'аксел-ры 1 и 2 и интегр-ие  '!M99</f>
        <v>0.95999896500000004</v>
      </c>
      <c r="B96" s="30">
        <f>'аксел-ры 1 и 2 и интегр-ие  '!P99</f>
        <v>14.69064658784518</v>
      </c>
      <c r="C96" s="30">
        <f>'аксел-ры 1 и 2 и интегр-ие  '!Y99</f>
        <v>0.43259084930448122</v>
      </c>
      <c r="D96" s="12"/>
      <c r="E96" s="30">
        <f>'аксел-ры 1 и 2 и интегр-ие  '!Q99</f>
        <v>0.95999896500000004</v>
      </c>
      <c r="F96" s="30">
        <f>'аксел-ры 1 и 2 и интегр-ие  '!T99</f>
        <v>16.570031829416997</v>
      </c>
      <c r="G96" s="30">
        <f>'аксел-ры 1 и 2 и интегр-ие  '!AC99</f>
        <v>-0.25144943734685654</v>
      </c>
      <c r="H96" s="12"/>
      <c r="I96" s="30">
        <f t="shared" si="5"/>
        <v>0.95999896500000004</v>
      </c>
      <c r="J96" s="30">
        <f>DEGREES(ASIN((G96-C96)/'Начальные условия и парам.'!$B$15))</f>
        <v>-20.000000000000011</v>
      </c>
      <c r="L96" s="30">
        <f t="shared" si="6"/>
        <v>0.95999896500000004</v>
      </c>
      <c r="M96" s="30">
        <f>B96+SQRT(('Начальные условия и парам.'!$B$15+'Начальные условия и парам.'!$H$15)^2+('Начальные условия и парам.'!$K$15/2)^2)*COS(RADIANS(J96+'Начальные условия и парам.'!$E$19))</f>
        <v>20.670822455886299</v>
      </c>
      <c r="N96" s="30">
        <f>C96+SQRT(('Начальные условия и парам.'!$B$15+'Начальные условия и парам.'!$H$15)^2+('Начальные условия и парам.'!$K$15/2)^2)*SIN(RADIANS(J96+'Начальные условия и парам.'!$E$19))</f>
        <v>-0.67983738986362385</v>
      </c>
      <c r="P96" s="30">
        <f t="shared" si="7"/>
        <v>0.95999896500000004</v>
      </c>
      <c r="Q96" s="30">
        <f>B96+SQRT(('Начальные условия и парам.'!$B$15+'Начальные условия и парам.'!$H$15)^2+('Начальные условия и парам.'!$K$15/2)^2)*COS(RADIANS(J96-'Начальные условия и парам.'!$E$19))</f>
        <v>19.98678216923496</v>
      </c>
      <c r="R96" s="30">
        <f>C96+SQRT(('Начальные условия и парам.'!$B$15+'Начальные условия и парам.'!$H$15)^2+('Начальные условия и парам.'!$K$15/2)^2)*SIN(RADIANS(J96-'Начальные условия и парам.'!$E$19))</f>
        <v>-2.55922263143544</v>
      </c>
      <c r="T96" s="30">
        <f t="shared" si="8"/>
        <v>0.95999896500000004</v>
      </c>
      <c r="U96" s="30">
        <f>B96+SQRT(('Начальные условия и парам.'!$E$15)^2+('Начальные условия и парам.'!$K$15/2)^2)*COS(RADIANS(J96+PI()+'Начальные условия и парам.'!$H$19))</f>
        <v>17.851727209454936</v>
      </c>
      <c r="V96" s="30">
        <f>C96+SQRT(('Начальные условия и парам.'!$E$15)^2+('Начальные условия и парам.'!$K$15/2)^2)*SIN(RADIANS(J96+PI()+'Начальные условия и парам.'!$H$19))</f>
        <v>0.51959259459316254</v>
      </c>
      <c r="X96" s="30">
        <f t="shared" si="9"/>
        <v>0.95999896500000004</v>
      </c>
      <c r="Y96" s="30">
        <f>B96+SQRT(('Начальные условия и парам.'!$E$15)^2+('Начальные условия и парам.'!$K$15/2)^2)*COS(RADIANS(J96+PI()-'Начальные условия и парам.'!$H$19))</f>
        <v>17.271712132306192</v>
      </c>
      <c r="Z96" s="30">
        <f>C96+SQRT(('Начальные условия и парам.'!$E$15)^2+('Начальные условия и парам.'!$K$15/2)^2)*SIN(RADIANS(J96+PI()-'Начальные условия и парам.'!$H$19))</f>
        <v>-1.3944561274304275</v>
      </c>
    </row>
    <row r="97" spans="1:26" x14ac:dyDescent="0.25">
      <c r="A97" s="30">
        <f>'аксел-ры 1 и 2 и интегр-ие  '!M100</f>
        <v>0.96999931299999997</v>
      </c>
      <c r="B97" s="30">
        <f>'аксел-ры 1 и 2 и интегр-ие  '!P100</f>
        <v>14.826362133281211</v>
      </c>
      <c r="C97" s="30">
        <f>'аксел-ры 1 и 2 и интегр-ие  '!Y100</f>
        <v>0.43928399628920811</v>
      </c>
      <c r="D97" s="12"/>
      <c r="E97" s="30">
        <f>'аксел-ры 1 и 2 и интегр-ие  '!Q100</f>
        <v>0.96999931299999997</v>
      </c>
      <c r="F97" s="30">
        <f>'аксел-ры 1 и 2 и интегр-ие  '!T100</f>
        <v>16.705747374853029</v>
      </c>
      <c r="G97" s="30">
        <f>'аксел-ры 1 и 2 и интегр-ие  '!AC100</f>
        <v>-0.24475629036212876</v>
      </c>
      <c r="H97" s="12"/>
      <c r="I97" s="30">
        <f t="shared" si="5"/>
        <v>0.96999931299999997</v>
      </c>
      <c r="J97" s="30">
        <f>DEGREES(ASIN((G97-C97)/'Начальные условия и парам.'!$B$15))</f>
        <v>-19.999999999999982</v>
      </c>
      <c r="L97" s="30">
        <f t="shared" si="6"/>
        <v>0.96999931299999997</v>
      </c>
      <c r="M97" s="30">
        <f>B97+SQRT(('Начальные условия и парам.'!$B$15+'Начальные условия и парам.'!$H$15)^2+('Начальные условия и парам.'!$K$15/2)^2)*COS(RADIANS(J97+'Начальные условия и парам.'!$E$19))</f>
        <v>20.80653800132233</v>
      </c>
      <c r="N97" s="30">
        <f>C97+SQRT(('Начальные условия и парам.'!$B$15+'Начальные условия и парам.'!$H$15)^2+('Начальные условия и парам.'!$K$15/2)^2)*SIN(RADIANS(J97+'Начальные условия и парам.'!$E$19))</f>
        <v>-0.67314424287889407</v>
      </c>
      <c r="P97" s="30">
        <f t="shared" si="7"/>
        <v>0.96999931299999997</v>
      </c>
      <c r="Q97" s="30">
        <f>B97+SQRT(('Начальные условия и парам.'!$B$15+'Начальные условия и парам.'!$H$15)^2+('Начальные условия и парам.'!$K$15/2)^2)*COS(RADIANS(J97-'Начальные условия и парам.'!$E$19))</f>
        <v>20.122497714670992</v>
      </c>
      <c r="R97" s="30">
        <f>C97+SQRT(('Начальные условия и парам.'!$B$15+'Начальные условия и парам.'!$H$15)^2+('Начальные условия и парам.'!$K$15/2)^2)*SIN(RADIANS(J97-'Начальные условия и парам.'!$E$19))</f>
        <v>-2.5525294844507105</v>
      </c>
      <c r="T97" s="30">
        <f t="shared" si="8"/>
        <v>0.96999931299999997</v>
      </c>
      <c r="U97" s="30">
        <f>B97+SQRT(('Начальные условия и парам.'!$E$15)^2+('Начальные условия и парам.'!$K$15/2)^2)*COS(RADIANS(J97+PI()+'Начальные условия и парам.'!$H$19))</f>
        <v>17.987442754890967</v>
      </c>
      <c r="V97" s="30">
        <f>C97+SQRT(('Начальные условия и парам.'!$E$15)^2+('Начальные условия и парам.'!$K$15/2)^2)*SIN(RADIANS(J97+PI()+'Начальные условия и парам.'!$H$19))</f>
        <v>0.52628574157789099</v>
      </c>
      <c r="X97" s="30">
        <f t="shared" si="9"/>
        <v>0.96999931299999997</v>
      </c>
      <c r="Y97" s="30">
        <f>B97+SQRT(('Начальные условия и парам.'!$E$15)^2+('Начальные условия и парам.'!$K$15/2)^2)*COS(RADIANS(J97+PI()-'Начальные условия и парам.'!$H$19))</f>
        <v>17.407427677742227</v>
      </c>
      <c r="Z97" s="30">
        <f>C97+SQRT(('Начальные условия и парам.'!$E$15)^2+('Начальные условия и парам.'!$K$15/2)^2)*SIN(RADIANS(J97+PI()-'Начальные условия и парам.'!$H$19))</f>
        <v>-1.3877629804456992</v>
      </c>
    </row>
    <row r="98" spans="1:26" x14ac:dyDescent="0.25">
      <c r="A98" s="30">
        <f>'аксел-ры 1 и 2 и интегр-ие  '!M101</f>
        <v>0.97999918500000005</v>
      </c>
      <c r="B98" s="30">
        <f>'аксел-ры 1 и 2 и интегр-ие  '!P101</f>
        <v>14.961463278645281</v>
      </c>
      <c r="C98" s="30">
        <f>'аксел-ры 1 и 2 и интегр-ие  '!Y101</f>
        <v>0.44753669494533188</v>
      </c>
      <c r="D98" s="12"/>
      <c r="E98" s="30">
        <f>'аксел-ры 1 и 2 и интегр-ие  '!Q101</f>
        <v>0.97999918500000005</v>
      </c>
      <c r="F98" s="30">
        <f>'аксел-ры 1 и 2 и интегр-ие  '!T101</f>
        <v>16.840848520217097</v>
      </c>
      <c r="G98" s="30">
        <f>'аксел-ры 1 и 2 и интегр-ие  '!AC101</f>
        <v>-0.23650359170600588</v>
      </c>
      <c r="H98" s="12"/>
      <c r="I98" s="30">
        <f t="shared" si="5"/>
        <v>0.97999918500000005</v>
      </c>
      <c r="J98" s="30">
        <f>DEGREES(ASIN((G98-C98)/'Начальные условия и парам.'!$B$15))</f>
        <v>-20.000000000000011</v>
      </c>
      <c r="L98" s="30">
        <f t="shared" si="6"/>
        <v>0.97999918500000005</v>
      </c>
      <c r="M98" s="30">
        <f>B98+SQRT(('Начальные условия и парам.'!$B$15+'Начальные условия и парам.'!$H$15)^2+('Начальные условия и парам.'!$K$15/2)^2)*COS(RADIANS(J98+'Начальные условия и парам.'!$E$19))</f>
        <v>20.941639146686398</v>
      </c>
      <c r="N98" s="30">
        <f>C98+SQRT(('Начальные условия и парам.'!$B$15+'Начальные условия и парам.'!$H$15)^2+('Начальные условия и парам.'!$K$15/2)^2)*SIN(RADIANS(J98+'Начальные условия и парам.'!$E$19))</f>
        <v>-0.66489154422277319</v>
      </c>
      <c r="P98" s="30">
        <f t="shared" si="7"/>
        <v>0.97999918500000005</v>
      </c>
      <c r="Q98" s="30">
        <f>B98+SQRT(('Начальные условия и парам.'!$B$15+'Начальные условия и парам.'!$H$15)^2+('Начальные условия и парам.'!$K$15/2)^2)*COS(RADIANS(J98-'Начальные условия и парам.'!$E$19))</f>
        <v>20.257598860035063</v>
      </c>
      <c r="R98" s="30">
        <f>C98+SQRT(('Начальные условия и парам.'!$B$15+'Начальные условия и парам.'!$H$15)^2+('Начальные условия и парам.'!$K$15/2)^2)*SIN(RADIANS(J98-'Начальные условия и парам.'!$E$19))</f>
        <v>-2.5442767857945894</v>
      </c>
      <c r="T98" s="30">
        <f t="shared" si="8"/>
        <v>0.97999918500000005</v>
      </c>
      <c r="U98" s="30">
        <f>B98+SQRT(('Начальные условия и парам.'!$E$15)^2+('Начальные условия и парам.'!$K$15/2)^2)*COS(RADIANS(J98+PI()+'Начальные условия и парам.'!$H$19))</f>
        <v>18.122543900255039</v>
      </c>
      <c r="V98" s="30">
        <f>C98+SQRT(('Начальные условия и парам.'!$E$15)^2+('Начальные условия и парам.'!$K$15/2)^2)*SIN(RADIANS(J98+PI()+'Начальные условия и парам.'!$H$19))</f>
        <v>0.5345384402340132</v>
      </c>
      <c r="X98" s="30">
        <f t="shared" si="9"/>
        <v>0.97999918500000005</v>
      </c>
      <c r="Y98" s="30">
        <f>B98+SQRT(('Начальные условия и парам.'!$E$15)^2+('Начальные условия и парам.'!$K$15/2)^2)*COS(RADIANS(J98+PI()-'Начальные условия и парам.'!$H$19))</f>
        <v>17.542528823106295</v>
      </c>
      <c r="Z98" s="30">
        <f>C98+SQRT(('Начальные условия и парам.'!$E$15)^2+('Начальные условия и парам.'!$K$15/2)^2)*SIN(RADIANS(J98+PI()-'Начальные условия и парам.'!$H$19))</f>
        <v>-1.3795102817895768</v>
      </c>
    </row>
    <row r="99" spans="1:26" x14ac:dyDescent="0.25">
      <c r="A99" s="30">
        <f>'аксел-ры 1 и 2 и интегр-ие  '!M102</f>
        <v>0.98999905600000004</v>
      </c>
      <c r="B99" s="30">
        <f>'аксел-ры 1 и 2 и интегр-ие  '!P102</f>
        <v>15.0961388143911</v>
      </c>
      <c r="C99" s="30">
        <f>'аксел-ры 1 и 2 и интегр-ие  '!Y102</f>
        <v>0.45738086190533078</v>
      </c>
      <c r="D99" s="12"/>
      <c r="E99" s="30">
        <f>'аксел-ры 1 и 2 и интегр-ие  '!Q102</f>
        <v>0.98999905600000004</v>
      </c>
      <c r="F99" s="30">
        <f>'аксел-ры 1 и 2 и интегр-ие  '!T102</f>
        <v>16.975524055962918</v>
      </c>
      <c r="G99" s="30">
        <f>'аксел-ры 1 и 2 и интегр-ие  '!AC102</f>
        <v>-0.22665942474600609</v>
      </c>
      <c r="H99" s="12"/>
      <c r="I99" s="30">
        <f t="shared" si="5"/>
        <v>0.98999905600000004</v>
      </c>
      <c r="J99" s="30">
        <f>DEGREES(ASIN((G99-C99)/'Начальные условия и парам.'!$B$15))</f>
        <v>-19.999999999999982</v>
      </c>
      <c r="L99" s="30">
        <f t="shared" si="6"/>
        <v>0.98999905600000004</v>
      </c>
      <c r="M99" s="30">
        <f>B99+SQRT(('Начальные условия и парам.'!$B$15+'Начальные условия и парам.'!$H$15)^2+('Начальные условия и парам.'!$K$15/2)^2)*COS(RADIANS(J99+'Начальные условия и парам.'!$E$19))</f>
        <v>21.076314682432219</v>
      </c>
      <c r="N99" s="30">
        <f>C99+SQRT(('Начальные условия и парам.'!$B$15+'Начальные условия и парам.'!$H$15)^2+('Начальные условия и парам.'!$K$15/2)^2)*SIN(RADIANS(J99+'Начальные условия и парам.'!$E$19))</f>
        <v>-0.6550473772627714</v>
      </c>
      <c r="P99" s="30">
        <f t="shared" si="7"/>
        <v>0.98999905600000004</v>
      </c>
      <c r="Q99" s="30">
        <f>B99+SQRT(('Начальные условия и парам.'!$B$15+'Начальные условия и парам.'!$H$15)^2+('Начальные условия и парам.'!$K$15/2)^2)*COS(RADIANS(J99-'Начальные условия и парам.'!$E$19))</f>
        <v>20.392274395780881</v>
      </c>
      <c r="R99" s="30">
        <f>C99+SQRT(('Начальные условия и парам.'!$B$15+'Начальные условия и парам.'!$H$15)^2+('Начальные условия и парам.'!$K$15/2)^2)*SIN(RADIANS(J99-'Начальные условия и парам.'!$E$19))</f>
        <v>-2.5344326188345878</v>
      </c>
      <c r="T99" s="30">
        <f t="shared" si="8"/>
        <v>0.98999905600000004</v>
      </c>
      <c r="U99" s="30">
        <f>B99+SQRT(('Начальные условия и парам.'!$E$15)^2+('Начальные условия и парам.'!$K$15/2)^2)*COS(RADIANS(J99+PI()+'Начальные условия и парам.'!$H$19))</f>
        <v>18.257219436000856</v>
      </c>
      <c r="V99" s="30">
        <f>C99+SQRT(('Начальные условия и парам.'!$E$15)^2+('Начальные условия и парам.'!$K$15/2)^2)*SIN(RADIANS(J99+PI()+'Начальные условия и парам.'!$H$19))</f>
        <v>0.54438260719401366</v>
      </c>
      <c r="X99" s="30">
        <f t="shared" si="9"/>
        <v>0.98999905600000004</v>
      </c>
      <c r="Y99" s="30">
        <f>B99+SQRT(('Начальные условия и парам.'!$E$15)^2+('Начальные условия и парам.'!$K$15/2)^2)*COS(RADIANS(J99+PI()-'Начальные условия и парам.'!$H$19))</f>
        <v>17.677204358852116</v>
      </c>
      <c r="Z99" s="30">
        <f>C99+SQRT(('Начальные условия и парам.'!$E$15)^2+('Начальные условия и парам.'!$K$15/2)^2)*SIN(RADIANS(J99+PI()-'Начальные условия и парам.'!$H$19))</f>
        <v>-1.3696661148295766</v>
      </c>
    </row>
    <row r="100" spans="1:26" x14ac:dyDescent="0.25">
      <c r="A100" s="30">
        <f>'аксел-ры 1 и 2 и интегр-ие  '!M103</f>
        <v>0.99999892700000004</v>
      </c>
      <c r="B100" s="30">
        <f>'аксел-ры 1 и 2 и интегр-ие  '!P103</f>
        <v>15.230642501065399</v>
      </c>
      <c r="C100" s="30">
        <f>'аксел-ры 1 и 2 и интегр-ие  '!Y103</f>
        <v>0.46837719862852989</v>
      </c>
      <c r="D100" s="12"/>
      <c r="E100" s="30">
        <f>'аксел-ры 1 и 2 и интегр-ие  '!Q103</f>
        <v>0.99999892700000004</v>
      </c>
      <c r="F100" s="30">
        <f>'аксел-ры 1 и 2 и интегр-ие  '!T103</f>
        <v>17.110027742637214</v>
      </c>
      <c r="G100" s="30">
        <f>'аксел-ры 1 и 2 и интегр-ие  '!AC103</f>
        <v>-0.21566308802280698</v>
      </c>
      <c r="H100" s="12"/>
      <c r="I100" s="30">
        <f t="shared" si="5"/>
        <v>0.99999892700000004</v>
      </c>
      <c r="J100" s="30">
        <f>DEGREES(ASIN((G100-C100)/'Начальные условия и парам.'!$B$15))</f>
        <v>-19.999999999999982</v>
      </c>
      <c r="L100" s="30">
        <f t="shared" si="6"/>
        <v>0.99999892700000004</v>
      </c>
      <c r="M100" s="30">
        <f>B100+SQRT(('Начальные условия и парам.'!$B$15+'Начальные условия и парам.'!$H$15)^2+('Начальные условия и парам.'!$K$15/2)^2)*COS(RADIANS(J100+'Начальные условия и парам.'!$E$19))</f>
        <v>21.210818369106519</v>
      </c>
      <c r="N100" s="30">
        <f>C100+SQRT(('Начальные условия и парам.'!$B$15+'Начальные условия и парам.'!$H$15)^2+('Начальные условия и парам.'!$K$15/2)^2)*SIN(RADIANS(J100+'Начальные условия и парам.'!$E$19))</f>
        <v>-0.64405104053957229</v>
      </c>
      <c r="P100" s="30">
        <f t="shared" si="7"/>
        <v>0.99999892700000004</v>
      </c>
      <c r="Q100" s="30">
        <f>B100+SQRT(('Начальные условия и парам.'!$B$15+'Начальные условия и парам.'!$H$15)^2+('Начальные условия и парам.'!$K$15/2)^2)*COS(RADIANS(J100-'Начальные условия и парам.'!$E$19))</f>
        <v>20.526778082455181</v>
      </c>
      <c r="R100" s="30">
        <f>C100+SQRT(('Начальные условия и парам.'!$B$15+'Начальные условия и парам.'!$H$15)^2+('Начальные условия и парам.'!$K$15/2)^2)*SIN(RADIANS(J100-'Начальные условия и парам.'!$E$19))</f>
        <v>-2.5234362821113887</v>
      </c>
      <c r="T100" s="30">
        <f t="shared" si="8"/>
        <v>0.99999892700000004</v>
      </c>
      <c r="U100" s="30">
        <f>B100+SQRT(('Начальные условия и парам.'!$E$15)^2+('Начальные условия и парам.'!$K$15/2)^2)*COS(RADIANS(J100+PI()+'Начальные условия и парам.'!$H$19))</f>
        <v>18.391723122675156</v>
      </c>
      <c r="V100" s="30">
        <f>C100+SQRT(('Начальные условия и парам.'!$E$15)^2+('Начальные условия и парам.'!$K$15/2)^2)*SIN(RADIANS(J100+PI()+'Начальные условия и парам.'!$H$19))</f>
        <v>0.55537894391721276</v>
      </c>
      <c r="X100" s="30">
        <f t="shared" si="9"/>
        <v>0.99999892700000004</v>
      </c>
      <c r="Y100" s="30">
        <f>B100+SQRT(('Начальные условия и парам.'!$E$15)^2+('Начальные условия и парам.'!$K$15/2)^2)*COS(RADIANS(J100+PI()-'Начальные условия и парам.'!$H$19))</f>
        <v>17.811708045526412</v>
      </c>
      <c r="Z100" s="30">
        <f>C100+SQRT(('Начальные условия и парам.'!$E$15)^2+('Начальные условия и парам.'!$K$15/2)^2)*SIN(RADIANS(J100+PI()-'Начальные условия и парам.'!$H$19))</f>
        <v>-1.3586697781063775</v>
      </c>
    </row>
    <row r="101" spans="1:26" x14ac:dyDescent="0.25">
      <c r="A101" s="30">
        <f>'аксел-ры 1 и 2 и интегр-ие  '!M104</f>
        <v>1.009999275</v>
      </c>
      <c r="B101" s="30">
        <f>'аксел-ры 1 и 2 и интегр-ие  '!P104</f>
        <v>15.365184990006503</v>
      </c>
      <c r="C101" s="30">
        <f>'аксел-ры 1 и 2 и интегр-ие  '!Y104</f>
        <v>0.47999177670005722</v>
      </c>
      <c r="D101" s="12"/>
      <c r="E101" s="30">
        <f>'аксел-ры 1 и 2 и интегр-ие  '!Q104</f>
        <v>1.009999275</v>
      </c>
      <c r="F101" s="30">
        <f>'аксел-ры 1 и 2 и интегр-ие  '!T104</f>
        <v>17.244570231578319</v>
      </c>
      <c r="G101" s="30">
        <f>'аксел-ры 1 и 2 и интегр-ие  '!AC104</f>
        <v>-0.20404850995128054</v>
      </c>
      <c r="H101" s="12"/>
      <c r="I101" s="30">
        <f t="shared" si="5"/>
        <v>1.009999275</v>
      </c>
      <c r="J101" s="30">
        <f>DEGREES(ASIN((G101-C101)/'Начальные условия и парам.'!$B$15))</f>
        <v>-20.000000000000011</v>
      </c>
      <c r="L101" s="30">
        <f t="shared" si="6"/>
        <v>1.009999275</v>
      </c>
      <c r="M101" s="30">
        <f>B101+SQRT(('Начальные условия и парам.'!$B$15+'Начальные условия и парам.'!$H$15)^2+('Начальные условия и парам.'!$K$15/2)^2)*COS(RADIANS(J101+'Начальные условия и парам.'!$E$19))</f>
        <v>21.34536085804762</v>
      </c>
      <c r="N101" s="30">
        <f>C101+SQRT(('Начальные условия и парам.'!$B$15+'Начальные условия и парам.'!$H$15)^2+('Начальные условия и парам.'!$K$15/2)^2)*SIN(RADIANS(J101+'Начальные условия и парам.'!$E$19))</f>
        <v>-0.63243646246804786</v>
      </c>
      <c r="P101" s="30">
        <f t="shared" si="7"/>
        <v>1.009999275</v>
      </c>
      <c r="Q101" s="30">
        <f>B101+SQRT(('Начальные условия и парам.'!$B$15+'Начальные условия и парам.'!$H$15)^2+('Начальные условия и парам.'!$K$15/2)^2)*COS(RADIANS(J101-'Начальные условия и парам.'!$E$19))</f>
        <v>20.661320571396285</v>
      </c>
      <c r="R101" s="30">
        <f>C101+SQRT(('Начальные условия и парам.'!$B$15+'Начальные условия и парам.'!$H$15)^2+('Начальные условия и парам.'!$K$15/2)^2)*SIN(RADIANS(J101-'Начальные условия и парам.'!$E$19))</f>
        <v>-2.511821704039864</v>
      </c>
      <c r="T101" s="30">
        <f t="shared" si="8"/>
        <v>1.009999275</v>
      </c>
      <c r="U101" s="30">
        <f>B101+SQRT(('Начальные условия и парам.'!$E$15)^2+('Начальные условия и парам.'!$K$15/2)^2)*COS(RADIANS(J101+PI()+'Начальные условия и парам.'!$H$19))</f>
        <v>18.52626561161626</v>
      </c>
      <c r="V101" s="30">
        <f>C101+SQRT(('Начальные условия и парам.'!$E$15)^2+('Начальные условия и парам.'!$K$15/2)^2)*SIN(RADIANS(J101+PI()+'Начальные условия и парам.'!$H$19))</f>
        <v>0.56699352198873854</v>
      </c>
      <c r="X101" s="30">
        <f t="shared" si="9"/>
        <v>1.009999275</v>
      </c>
      <c r="Y101" s="30">
        <f>B101+SQRT(('Начальные условия и парам.'!$E$15)^2+('Начальные условия и парам.'!$K$15/2)^2)*COS(RADIANS(J101+PI()-'Начальные условия и парам.'!$H$19))</f>
        <v>17.946250534467517</v>
      </c>
      <c r="Z101" s="30">
        <f>C101+SQRT(('Начальные условия и парам.'!$E$15)^2+('Начальные условия и парам.'!$K$15/2)^2)*SIN(RADIANS(J101+PI()-'Начальные условия и парам.'!$H$19))</f>
        <v>-1.3470552000348515</v>
      </c>
    </row>
    <row r="102" spans="1:26" x14ac:dyDescent="0.25">
      <c r="A102" s="30">
        <f>'аксел-ры 1 и 2 и интегр-ие  '!M105</f>
        <v>1.0199991470000001</v>
      </c>
      <c r="B102" s="30">
        <f>'аксел-ры 1 и 2 и интегр-ие  '!P105</f>
        <v>15.499905097992631</v>
      </c>
      <c r="C102" s="30">
        <f>'аксел-ры 1 и 2 и интегр-ие  '!Y105</f>
        <v>0.49152859904848079</v>
      </c>
      <c r="D102" s="12"/>
      <c r="E102" s="30">
        <f>'аксел-ры 1 и 2 и интегр-ие  '!Q105</f>
        <v>1.0199991470000001</v>
      </c>
      <c r="F102" s="30">
        <f>'аксел-ры 1 и 2 и интегр-ие  '!T105</f>
        <v>17.379290339564449</v>
      </c>
      <c r="G102" s="30">
        <f>'аксел-ры 1 и 2 и интегр-ие  '!AC105</f>
        <v>-0.19251168760285697</v>
      </c>
      <c r="H102" s="12"/>
      <c r="I102" s="30">
        <f t="shared" si="5"/>
        <v>1.0199991470000001</v>
      </c>
      <c r="J102" s="30">
        <f>DEGREES(ASIN((G102-C102)/'Начальные условия и парам.'!$B$15))</f>
        <v>-20.000000000000011</v>
      </c>
      <c r="L102" s="30">
        <f t="shared" si="6"/>
        <v>1.0199991470000001</v>
      </c>
      <c r="M102" s="30">
        <f>B102+SQRT(('Начальные условия и парам.'!$B$15+'Начальные условия и парам.'!$H$15)^2+('Начальные условия и парам.'!$K$15/2)^2)*COS(RADIANS(J102+'Начальные условия и парам.'!$E$19))</f>
        <v>21.48008096603375</v>
      </c>
      <c r="N102" s="30">
        <f>C102+SQRT(('Начальные условия и парам.'!$B$15+'Начальные условия и парам.'!$H$15)^2+('Начальные условия и парам.'!$K$15/2)^2)*SIN(RADIANS(J102+'Начальные условия и парам.'!$E$19))</f>
        <v>-0.62089964011962429</v>
      </c>
      <c r="P102" s="30">
        <f t="shared" si="7"/>
        <v>1.0199991470000001</v>
      </c>
      <c r="Q102" s="30">
        <f>B102+SQRT(('Начальные условия и парам.'!$B$15+'Начальные условия и парам.'!$H$15)^2+('Начальные условия и парам.'!$K$15/2)^2)*COS(RADIANS(J102-'Начальные условия и парам.'!$E$19))</f>
        <v>20.796040679382411</v>
      </c>
      <c r="R102" s="30">
        <f>C102+SQRT(('Начальные условия и парам.'!$B$15+'Начальные условия и парам.'!$H$15)^2+('Начальные условия и парам.'!$K$15/2)^2)*SIN(RADIANS(J102-'Начальные условия и парам.'!$E$19))</f>
        <v>-2.5002848816914405</v>
      </c>
      <c r="T102" s="30">
        <f t="shared" si="8"/>
        <v>1.0199991470000001</v>
      </c>
      <c r="U102" s="30">
        <f>B102+SQRT(('Начальные условия и парам.'!$E$15)^2+('Начальные условия и парам.'!$K$15/2)^2)*COS(RADIANS(J102+PI()+'Начальные условия и парам.'!$H$19))</f>
        <v>18.660985719602387</v>
      </c>
      <c r="V102" s="30">
        <f>C102+SQRT(('Начальные условия и парам.'!$E$15)^2+('Начальные условия и парам.'!$K$15/2)^2)*SIN(RADIANS(J102+PI()+'Начальные условия и парам.'!$H$19))</f>
        <v>0.57853034433716211</v>
      </c>
      <c r="X102" s="30">
        <f t="shared" si="9"/>
        <v>1.0199991470000001</v>
      </c>
      <c r="Y102" s="30">
        <f>B102+SQRT(('Начальные условия и парам.'!$E$15)^2+('Начальные условия и парам.'!$K$15/2)^2)*COS(RADIANS(J102+PI()-'Начальные условия и парам.'!$H$19))</f>
        <v>18.080970642453643</v>
      </c>
      <c r="Z102" s="30">
        <f>C102+SQRT(('Начальные условия и парам.'!$E$15)^2+('Начальные условия и парам.'!$K$15/2)^2)*SIN(RADIANS(J102+PI()-'Начальные условия и парам.'!$H$19))</f>
        <v>-1.3355183776864279</v>
      </c>
    </row>
    <row r="103" spans="1:26" x14ac:dyDescent="0.25">
      <c r="A103" s="30">
        <f>'аксел-ры 1 и 2 и интегр-ие  '!M106</f>
        <v>1.029999018</v>
      </c>
      <c r="B103" s="30">
        <f>'аксел-ры 1 и 2 и интегр-ие  '!P106</f>
        <v>15.634916354948176</v>
      </c>
      <c r="C103" s="30">
        <f>'аксел-ры 1 и 2 и интегр-ие  '!Y106</f>
        <v>0.50198729860727909</v>
      </c>
      <c r="D103" s="12"/>
      <c r="E103" s="30">
        <f>'аксел-ры 1 и 2 и интегр-ие  '!Q106</f>
        <v>1.029999018</v>
      </c>
      <c r="F103" s="30">
        <f>'аксел-ры 1 и 2 и интегр-ие  '!T106</f>
        <v>17.514301596519992</v>
      </c>
      <c r="G103" s="30">
        <f>'аксел-ры 1 и 2 и интегр-ие  '!AC106</f>
        <v>-0.18205298804405778</v>
      </c>
      <c r="H103" s="12"/>
      <c r="I103" s="30">
        <f t="shared" si="5"/>
        <v>1.029999018</v>
      </c>
      <c r="J103" s="30">
        <f>DEGREES(ASIN((G103-C103)/'Начальные условия и парам.'!$B$15))</f>
        <v>-19.999999999999982</v>
      </c>
      <c r="L103" s="30">
        <f t="shared" si="6"/>
        <v>1.029999018</v>
      </c>
      <c r="M103" s="30">
        <f>B103+SQRT(('Начальные условия и парам.'!$B$15+'Начальные условия и парам.'!$H$15)^2+('Начальные условия и парам.'!$K$15/2)^2)*COS(RADIANS(J103+'Начальные условия и парам.'!$E$19))</f>
        <v>21.615092222989297</v>
      </c>
      <c r="N103" s="30">
        <f>C103+SQRT(('Начальные условия и парам.'!$B$15+'Начальные условия и парам.'!$H$15)^2+('Начальные условия и парам.'!$K$15/2)^2)*SIN(RADIANS(J103+'Начальные условия и парам.'!$E$19))</f>
        <v>-0.6104409405608231</v>
      </c>
      <c r="P103" s="30">
        <f t="shared" si="7"/>
        <v>1.029999018</v>
      </c>
      <c r="Q103" s="30">
        <f>B103+SQRT(('Начальные условия и парам.'!$B$15+'Начальные условия и парам.'!$H$15)^2+('Начальные условия и парам.'!$K$15/2)^2)*COS(RADIANS(J103-'Начальные условия и парам.'!$E$19))</f>
        <v>20.931051936337958</v>
      </c>
      <c r="R103" s="30">
        <f>C103+SQRT(('Начальные условия и парам.'!$B$15+'Начальные условия и парам.'!$H$15)^2+('Начальные условия и парам.'!$K$15/2)^2)*SIN(RADIANS(J103-'Начальные условия и парам.'!$E$19))</f>
        <v>-2.4898261821326395</v>
      </c>
      <c r="T103" s="30">
        <f t="shared" si="8"/>
        <v>1.029999018</v>
      </c>
      <c r="U103" s="30">
        <f>B103+SQRT(('Начальные условия и парам.'!$E$15)^2+('Начальные условия и парам.'!$K$15/2)^2)*COS(RADIANS(J103+PI()+'Начальные условия и парам.'!$H$19))</f>
        <v>18.795996976557934</v>
      </c>
      <c r="V103" s="30">
        <f>C103+SQRT(('Начальные условия и парам.'!$E$15)^2+('Начальные условия и парам.'!$K$15/2)^2)*SIN(RADIANS(J103+PI()+'Начальные условия и парам.'!$H$19))</f>
        <v>0.58898904389596196</v>
      </c>
      <c r="X103" s="30">
        <f t="shared" si="9"/>
        <v>1.029999018</v>
      </c>
      <c r="Y103" s="30">
        <f>B103+SQRT(('Начальные условия и парам.'!$E$15)^2+('Начальные условия и парам.'!$K$15/2)^2)*COS(RADIANS(J103+PI()-'Начальные условия и парам.'!$H$19))</f>
        <v>18.21598189940919</v>
      </c>
      <c r="Z103" s="30">
        <f>C103+SQRT(('Начальные условия и парам.'!$E$15)^2+('Начальные условия и парам.'!$K$15/2)^2)*SIN(RADIANS(J103+PI()-'Начальные условия и парам.'!$H$19))</f>
        <v>-1.3250596781276283</v>
      </c>
    </row>
    <row r="104" spans="1:26" x14ac:dyDescent="0.25">
      <c r="A104" s="30">
        <f>'аксел-ры 1 и 2 и интегр-ие  '!M107</f>
        <v>1.039999366</v>
      </c>
      <c r="B104" s="30">
        <f>'аксел-ры 1 и 2 и интегр-ие  '!P107</f>
        <v>15.770240748043513</v>
      </c>
      <c r="C104" s="30">
        <f>'аксел-ры 1 и 2 и интегр-ие  '!Y107</f>
        <v>0.51063479745375684</v>
      </c>
      <c r="D104" s="12"/>
      <c r="E104" s="30">
        <f>'аксел-ры 1 и 2 и интегр-ие  '!Q107</f>
        <v>1.039999366</v>
      </c>
      <c r="F104" s="30">
        <f>'аксел-ры 1 и 2 и интегр-ие  '!T107</f>
        <v>17.64962598961533</v>
      </c>
      <c r="G104" s="30">
        <f>'аксел-ры 1 и 2 и интегр-ие  '!AC107</f>
        <v>-0.17340548919758092</v>
      </c>
      <c r="H104" s="12"/>
      <c r="I104" s="30">
        <f t="shared" si="5"/>
        <v>1.039999366</v>
      </c>
      <c r="J104" s="30">
        <f>DEGREES(ASIN((G104-C104)/'Начальные условия и парам.'!$B$15))</f>
        <v>-20.000000000000011</v>
      </c>
      <c r="L104" s="30">
        <f t="shared" si="6"/>
        <v>1.039999366</v>
      </c>
      <c r="M104" s="30">
        <f>B104+SQRT(('Начальные условия и парам.'!$B$15+'Начальные условия и парам.'!$H$15)^2+('Начальные условия и парам.'!$K$15/2)^2)*COS(RADIANS(J104+'Начальные условия и парам.'!$E$19))</f>
        <v>21.750416616084632</v>
      </c>
      <c r="N104" s="30">
        <f>C104+SQRT(('Начальные условия и парам.'!$B$15+'Начальные условия и парам.'!$H$15)^2+('Начальные условия и парам.'!$K$15/2)^2)*SIN(RADIANS(J104+'Начальные условия и парам.'!$E$19))</f>
        <v>-0.60179344171434823</v>
      </c>
      <c r="P104" s="30">
        <f t="shared" si="7"/>
        <v>1.039999366</v>
      </c>
      <c r="Q104" s="30">
        <f>B104+SQRT(('Начальные условия и парам.'!$B$15+'Начальные условия и парам.'!$H$15)^2+('Начальные условия и парам.'!$K$15/2)^2)*COS(RADIANS(J104-'Начальные условия и парам.'!$E$19))</f>
        <v>21.066376329433293</v>
      </c>
      <c r="R104" s="30">
        <f>C104+SQRT(('Начальные условия и парам.'!$B$15+'Начальные условия и парам.'!$H$15)^2+('Начальные условия и парам.'!$K$15/2)^2)*SIN(RADIANS(J104-'Начальные условия и парам.'!$E$19))</f>
        <v>-2.4811786832861644</v>
      </c>
      <c r="T104" s="30">
        <f t="shared" si="8"/>
        <v>1.039999366</v>
      </c>
      <c r="U104" s="30">
        <f>B104+SQRT(('Начальные условия и парам.'!$E$15)^2+('Начальные условия и парам.'!$K$15/2)^2)*COS(RADIANS(J104+PI()+'Начальные условия и парам.'!$H$19))</f>
        <v>18.931321369653269</v>
      </c>
      <c r="V104" s="30">
        <f>C104+SQRT(('Начальные условия и парам.'!$E$15)^2+('Начальные условия и парам.'!$K$15/2)^2)*SIN(RADIANS(J104+PI()+'Начальные условия и парам.'!$H$19))</f>
        <v>0.59763654274243816</v>
      </c>
      <c r="X104" s="30">
        <f t="shared" si="9"/>
        <v>1.039999366</v>
      </c>
      <c r="Y104" s="30">
        <f>B104+SQRT(('Начальные условия и парам.'!$E$15)^2+('Начальные условия и парам.'!$K$15/2)^2)*COS(RADIANS(J104+PI()-'Начальные условия и парам.'!$H$19))</f>
        <v>18.351306292504525</v>
      </c>
      <c r="Z104" s="30">
        <f>C104+SQRT(('Начальные условия и парам.'!$E$15)^2+('Начальные условия и парам.'!$K$15/2)^2)*SIN(RADIANS(J104+PI()-'Начальные условия и парам.'!$H$19))</f>
        <v>-1.3164121792811518</v>
      </c>
    </row>
    <row r="105" spans="1:26" x14ac:dyDescent="0.25">
      <c r="A105" s="30">
        <f>'аксел-ры 1 и 2 и интегр-ие  '!M108</f>
        <v>1.049999237</v>
      </c>
      <c r="B105" s="30">
        <f>'аксел-ры 1 и 2 и интегр-ие  '!P108</f>
        <v>15.90573513125026</v>
      </c>
      <c r="C105" s="30">
        <f>'аксел-ры 1 и 2 и интегр-ие  '!Y108</f>
        <v>0.51777158181525618</v>
      </c>
      <c r="D105" s="12"/>
      <c r="E105" s="30">
        <f>'аксел-ры 1 и 2 и интегр-ие  '!Q108</f>
        <v>1.049999237</v>
      </c>
      <c r="F105" s="30">
        <f>'аксел-ры 1 и 2 и интегр-ие  '!T108</f>
        <v>17.785120372822078</v>
      </c>
      <c r="G105" s="30">
        <f>'аксел-ры 1 и 2 и интегр-ие  '!AC108</f>
        <v>-0.16626870483608158</v>
      </c>
      <c r="H105" s="12"/>
      <c r="I105" s="30">
        <f t="shared" si="5"/>
        <v>1.049999237</v>
      </c>
      <c r="J105" s="30">
        <f>DEGREES(ASIN((G105-C105)/'Начальные условия и парам.'!$B$15))</f>
        <v>-20.000000000000011</v>
      </c>
      <c r="L105" s="30">
        <f t="shared" si="6"/>
        <v>1.049999237</v>
      </c>
      <c r="M105" s="30">
        <f>B105+SQRT(('Начальные условия и парам.'!$B$15+'Начальные условия и парам.'!$H$15)^2+('Начальные условия и парам.'!$K$15/2)^2)*COS(RADIANS(J105+'Начальные условия и парам.'!$E$19))</f>
        <v>21.885910999291379</v>
      </c>
      <c r="N105" s="30">
        <f>C105+SQRT(('Начальные условия и парам.'!$B$15+'Начальные условия и парам.'!$H$15)^2+('Начальные условия и парам.'!$K$15/2)^2)*SIN(RADIANS(J105+'Начальные условия и парам.'!$E$19))</f>
        <v>-0.59465665735284889</v>
      </c>
      <c r="P105" s="30">
        <f t="shared" si="7"/>
        <v>1.049999237</v>
      </c>
      <c r="Q105" s="30">
        <f>B105+SQRT(('Начальные условия и парам.'!$B$15+'Начальные условия и парам.'!$H$15)^2+('Начальные условия и парам.'!$K$15/2)^2)*COS(RADIANS(J105-'Начальные условия и парам.'!$E$19))</f>
        <v>21.201870712640041</v>
      </c>
      <c r="R105" s="30">
        <f>C105+SQRT(('Начальные условия и парам.'!$B$15+'Начальные условия и парам.'!$H$15)^2+('Начальные условия и парам.'!$K$15/2)^2)*SIN(RADIANS(J105-'Начальные условия и парам.'!$E$19))</f>
        <v>-2.4740418989246651</v>
      </c>
      <c r="T105" s="30">
        <f t="shared" si="8"/>
        <v>1.049999237</v>
      </c>
      <c r="U105" s="30">
        <f>B105+SQRT(('Начальные условия и парам.'!$E$15)^2+('Начальные условия и парам.'!$K$15/2)^2)*COS(RADIANS(J105+PI()+'Начальные условия и парам.'!$H$19))</f>
        <v>19.066815752860016</v>
      </c>
      <c r="V105" s="30">
        <f>C105+SQRT(('Начальные условия и парам.'!$E$15)^2+('Начальные условия и парам.'!$K$15/2)^2)*SIN(RADIANS(J105+PI()+'Начальные условия и парам.'!$H$19))</f>
        <v>0.6047733271039375</v>
      </c>
      <c r="X105" s="30">
        <f t="shared" si="9"/>
        <v>1.049999237</v>
      </c>
      <c r="Y105" s="30">
        <f>B105+SQRT(('Начальные условия и парам.'!$E$15)^2+('Начальные условия и парам.'!$K$15/2)^2)*COS(RADIANS(J105+PI()-'Начальные условия и парам.'!$H$19))</f>
        <v>18.486800675711272</v>
      </c>
      <c r="Z105" s="30">
        <f>C105+SQRT(('Начальные условия и парам.'!$E$15)^2+('Начальные условия и парам.'!$K$15/2)^2)*SIN(RADIANS(J105+PI()-'Начальные условия и парам.'!$H$19))</f>
        <v>-1.3092753949196525</v>
      </c>
    </row>
    <row r="106" spans="1:26" x14ac:dyDescent="0.25">
      <c r="A106" s="30">
        <f>'аксел-ры 1 и 2 и интегр-ие  '!M109</f>
        <v>1.059999108</v>
      </c>
      <c r="B106" s="30">
        <f>'аксел-ры 1 и 2 и интегр-ие  '!P109</f>
        <v>16.041154887516079</v>
      </c>
      <c r="C106" s="30">
        <f>'аксел-ры 1 и 2 и интегр-ие  '!Y109</f>
        <v>0.52459070357915483</v>
      </c>
      <c r="D106" s="12"/>
      <c r="E106" s="30">
        <f>'аксел-ры 1 и 2 и интегр-ие  '!Q109</f>
        <v>1.059999108</v>
      </c>
      <c r="F106" s="30">
        <f>'аксел-ры 1 и 2 и интегр-ие  '!T109</f>
        <v>17.920540129087897</v>
      </c>
      <c r="G106" s="30">
        <f>'аксел-ры 1 и 2 и интегр-ие  '!AC109</f>
        <v>-0.15944958307218204</v>
      </c>
      <c r="H106" s="12"/>
      <c r="I106" s="30">
        <f t="shared" si="5"/>
        <v>1.059999108</v>
      </c>
      <c r="J106" s="30">
        <f>DEGREES(ASIN((G106-C106)/'Начальные условия и парам.'!$B$15))</f>
        <v>-19.999999999999982</v>
      </c>
      <c r="L106" s="30">
        <f t="shared" si="6"/>
        <v>1.059999108</v>
      </c>
      <c r="M106" s="30">
        <f>B106+SQRT(('Начальные условия и парам.'!$B$15+'Начальные условия и парам.'!$H$15)^2+('Начальные условия и парам.'!$K$15/2)^2)*COS(RADIANS(J106+'Начальные условия и парам.'!$E$19))</f>
        <v>22.021330755557198</v>
      </c>
      <c r="N106" s="30">
        <f>C106+SQRT(('Начальные условия и парам.'!$B$15+'Начальные условия и парам.'!$H$15)^2+('Начальные условия и парам.'!$K$15/2)^2)*SIN(RADIANS(J106+'Начальные условия и парам.'!$E$19))</f>
        <v>-0.58783753558894736</v>
      </c>
      <c r="P106" s="30">
        <f t="shared" si="7"/>
        <v>1.059999108</v>
      </c>
      <c r="Q106" s="30">
        <f>B106+SQRT(('Начальные условия и парам.'!$B$15+'Начальные условия и парам.'!$H$15)^2+('Начальные условия и парам.'!$K$15/2)^2)*COS(RADIANS(J106-'Начальные условия и парам.'!$E$19))</f>
        <v>21.337290468905863</v>
      </c>
      <c r="R106" s="30">
        <f>C106+SQRT(('Начальные условия и парам.'!$B$15+'Начальные условия и парам.'!$H$15)^2+('Начальные условия и парам.'!$K$15/2)^2)*SIN(RADIANS(J106-'Начальные условия и парам.'!$E$19))</f>
        <v>-2.4672227771607638</v>
      </c>
      <c r="T106" s="30">
        <f t="shared" si="8"/>
        <v>1.059999108</v>
      </c>
      <c r="U106" s="30">
        <f>B106+SQRT(('Начальные условия и парам.'!$E$15)^2+('Начальные условия и парам.'!$K$15/2)^2)*COS(RADIANS(J106+PI()+'Начальные условия и парам.'!$H$19))</f>
        <v>19.202235509125835</v>
      </c>
      <c r="V106" s="30">
        <f>C106+SQRT(('Начальные условия и парам.'!$E$15)^2+('Начальные условия и парам.'!$K$15/2)^2)*SIN(RADIANS(J106+PI()+'Начальные условия и парам.'!$H$19))</f>
        <v>0.6115924488678377</v>
      </c>
      <c r="X106" s="30">
        <f t="shared" si="9"/>
        <v>1.059999108</v>
      </c>
      <c r="Y106" s="30">
        <f>B106+SQRT(('Начальные условия и парам.'!$E$15)^2+('Начальные условия и парам.'!$K$15/2)^2)*COS(RADIANS(J106+PI()-'Начальные условия и парам.'!$H$19))</f>
        <v>18.622220431977095</v>
      </c>
      <c r="Z106" s="30">
        <f>C106+SQRT(('Начальные условия и парам.'!$E$15)^2+('Начальные условия и парам.'!$K$15/2)^2)*SIN(RADIANS(J106+PI()-'Начальные условия и парам.'!$H$19))</f>
        <v>-1.3024562731557525</v>
      </c>
    </row>
    <row r="107" spans="1:26" x14ac:dyDescent="0.25">
      <c r="A107" s="30">
        <f>'аксел-ры 1 и 2 и интегр-ие  '!M110</f>
        <v>1.06999898</v>
      </c>
      <c r="B107" s="30">
        <f>'аксел-ры 1 и 2 и интегр-ие  '!P110</f>
        <v>16.176276016031341</v>
      </c>
      <c r="C107" s="30">
        <f>'аксел-ры 1 и 2 и интегр-ие  '!Y110</f>
        <v>0.53227298773987908</v>
      </c>
      <c r="D107" s="12"/>
      <c r="E107" s="30">
        <f>'аксел-ры 1 и 2 и интегр-ие  '!Q110</f>
        <v>1.06999898</v>
      </c>
      <c r="F107" s="30">
        <f>'аксел-ры 1 и 2 и интегр-ие  '!T110</f>
        <v>18.055661257603159</v>
      </c>
      <c r="G107" s="30">
        <f>'аксел-ры 1 и 2 и интегр-ие  '!AC110</f>
        <v>-0.15176729891145868</v>
      </c>
      <c r="H107" s="12"/>
      <c r="I107" s="30">
        <f t="shared" si="5"/>
        <v>1.06999898</v>
      </c>
      <c r="J107" s="30">
        <f>DEGREES(ASIN((G107-C107)/'Начальные условия и парам.'!$B$15))</f>
        <v>-20.000000000000011</v>
      </c>
      <c r="L107" s="30">
        <f t="shared" si="6"/>
        <v>1.06999898</v>
      </c>
      <c r="M107" s="30">
        <f>B107+SQRT(('Начальные условия и парам.'!$B$15+'Начальные условия и парам.'!$H$15)^2+('Начальные условия и парам.'!$K$15/2)^2)*COS(RADIANS(J107+'Начальные условия и парам.'!$E$19))</f>
        <v>22.15645188407246</v>
      </c>
      <c r="N107" s="30">
        <f>C107+SQRT(('Начальные условия и парам.'!$B$15+'Начальные условия и парам.'!$H$15)^2+('Начальные условия и парам.'!$K$15/2)^2)*SIN(RADIANS(J107+'Начальные условия и парам.'!$E$19))</f>
        <v>-0.58015525142822599</v>
      </c>
      <c r="P107" s="30">
        <f t="shared" si="7"/>
        <v>1.06999898</v>
      </c>
      <c r="Q107" s="30">
        <f>B107+SQRT(('Начальные условия и парам.'!$B$15+'Начальные условия и парам.'!$H$15)^2+('Начальные условия и парам.'!$K$15/2)^2)*COS(RADIANS(J107-'Начальные условия и парам.'!$E$19))</f>
        <v>21.472411597421122</v>
      </c>
      <c r="R107" s="30">
        <f>C107+SQRT(('Начальные условия и парам.'!$B$15+'Начальные условия и парам.'!$H$15)^2+('Начальные условия и парам.'!$K$15/2)^2)*SIN(RADIANS(J107-'Начальные условия и парам.'!$E$19))</f>
        <v>-2.4595404930000422</v>
      </c>
      <c r="T107" s="30">
        <f t="shared" si="8"/>
        <v>1.06999898</v>
      </c>
      <c r="U107" s="30">
        <f>B107+SQRT(('Начальные условия и парам.'!$E$15)^2+('Начальные условия и парам.'!$K$15/2)^2)*COS(RADIANS(J107+PI()+'Начальные условия и парам.'!$H$19))</f>
        <v>19.337356637641097</v>
      </c>
      <c r="V107" s="30">
        <f>C107+SQRT(('Начальные условия и парам.'!$E$15)^2+('Начальные условия и парам.'!$K$15/2)^2)*SIN(RADIANS(J107+PI()+'Начальные условия и парам.'!$H$19))</f>
        <v>0.6192747330285604</v>
      </c>
      <c r="X107" s="30">
        <f t="shared" si="9"/>
        <v>1.06999898</v>
      </c>
      <c r="Y107" s="30">
        <f>B107+SQRT(('Начальные условия и парам.'!$E$15)^2+('Начальные условия и парам.'!$K$15/2)^2)*COS(RADIANS(J107+PI()-'Начальные условия и парам.'!$H$19))</f>
        <v>18.757341560492357</v>
      </c>
      <c r="Z107" s="30">
        <f>C107+SQRT(('Начальные условия и парам.'!$E$15)^2+('Начальные условия и парам.'!$K$15/2)^2)*SIN(RADIANS(J107+PI()-'Начальные условия и парам.'!$H$19))</f>
        <v>-1.2947739889950296</v>
      </c>
    </row>
    <row r="108" spans="1:26" x14ac:dyDescent="0.25">
      <c r="A108" s="30">
        <f>'аксел-ры 1 и 2 и интегр-ие  '!M111</f>
        <v>1.079999328</v>
      </c>
      <c r="B108" s="30">
        <f>'аксел-ры 1 и 2 и интегр-ие  '!P111</f>
        <v>16.311080228068867</v>
      </c>
      <c r="C108" s="30">
        <f>'аксел-ры 1 и 2 и интегр-ие  '!Y111</f>
        <v>0.54142880094215506</v>
      </c>
      <c r="D108" s="12"/>
      <c r="E108" s="30">
        <f>'аксел-ры 1 и 2 и интегр-ие  '!Q111</f>
        <v>1.079999328</v>
      </c>
      <c r="F108" s="30">
        <f>'аксел-ры 1 и 2 и интегр-ие  '!T111</f>
        <v>18.190465469640685</v>
      </c>
      <c r="G108" s="30">
        <f>'аксел-ры 1 и 2 и интегр-ие  '!AC111</f>
        <v>-0.14261148570918269</v>
      </c>
      <c r="H108" s="12"/>
      <c r="I108" s="30">
        <f t="shared" si="5"/>
        <v>1.079999328</v>
      </c>
      <c r="J108" s="30">
        <f>DEGREES(ASIN((G108-C108)/'Начальные условия и парам.'!$B$15))</f>
        <v>-20.000000000000011</v>
      </c>
      <c r="L108" s="30">
        <f t="shared" si="6"/>
        <v>1.079999328</v>
      </c>
      <c r="M108" s="30">
        <f>B108+SQRT(('Начальные условия и парам.'!$B$15+'Начальные условия и парам.'!$H$15)^2+('Начальные условия и парам.'!$K$15/2)^2)*COS(RADIANS(J108+'Начальные условия и парам.'!$E$19))</f>
        <v>22.291256096109986</v>
      </c>
      <c r="N108" s="30">
        <f>C108+SQRT(('Начальные условия и парам.'!$B$15+'Начальные условия и парам.'!$H$15)^2+('Начальные условия и парам.'!$K$15/2)^2)*SIN(RADIANS(J108+'Начальные условия и парам.'!$E$19))</f>
        <v>-0.57099943822595001</v>
      </c>
      <c r="P108" s="30">
        <f t="shared" si="7"/>
        <v>1.079999328</v>
      </c>
      <c r="Q108" s="30">
        <f>B108+SQRT(('Начальные условия и парам.'!$B$15+'Начальные условия и парам.'!$H$15)^2+('Начальные условия и парам.'!$K$15/2)^2)*COS(RADIANS(J108-'Начальные условия и парам.'!$E$19))</f>
        <v>21.607215809458648</v>
      </c>
      <c r="R108" s="30">
        <f>C108+SQRT(('Начальные условия и парам.'!$B$15+'Начальные условия и парам.'!$H$15)^2+('Начальные условия и парам.'!$K$15/2)^2)*SIN(RADIANS(J108-'Начальные условия и парам.'!$E$19))</f>
        <v>-2.4503846797977662</v>
      </c>
      <c r="T108" s="30">
        <f t="shared" si="8"/>
        <v>1.079999328</v>
      </c>
      <c r="U108" s="30">
        <f>B108+SQRT(('Начальные условия и парам.'!$E$15)^2+('Начальные условия и парам.'!$K$15/2)^2)*COS(RADIANS(J108+PI()+'Начальные условия и парам.'!$H$19))</f>
        <v>19.472160849678623</v>
      </c>
      <c r="V108" s="30">
        <f>C108+SQRT(('Начальные условия и парам.'!$E$15)^2+('Начальные условия и парам.'!$K$15/2)^2)*SIN(RADIANS(J108+PI()+'Начальные условия и парам.'!$H$19))</f>
        <v>0.62843054623083638</v>
      </c>
      <c r="X108" s="30">
        <f t="shared" si="9"/>
        <v>1.079999328</v>
      </c>
      <c r="Y108" s="30">
        <f>B108+SQRT(('Начальные условия и парам.'!$E$15)^2+('Начальные условия и парам.'!$K$15/2)^2)*COS(RADIANS(J108+PI()-'Начальные условия и парам.'!$H$19))</f>
        <v>18.892145772529879</v>
      </c>
      <c r="Z108" s="30">
        <f>C108+SQRT(('Начальные условия и парам.'!$E$15)^2+('Начальные условия и парам.'!$K$15/2)^2)*SIN(RADIANS(J108+PI()-'Начальные условия и парам.'!$H$19))</f>
        <v>-1.2856181757927536</v>
      </c>
    </row>
    <row r="109" spans="1:26" x14ac:dyDescent="0.25">
      <c r="A109" s="30">
        <f>'аксел-ры 1 и 2 и интегр-ие  '!M112</f>
        <v>1.089999199</v>
      </c>
      <c r="B109" s="30">
        <f>'аксел-ры 1 и 2 и интегр-ие  '!P112</f>
        <v>16.445680208615947</v>
      </c>
      <c r="C109" s="30">
        <f>'аксел-ры 1 и 2 и интегр-ие  '!Y112</f>
        <v>0.55234703885600389</v>
      </c>
      <c r="D109" s="12"/>
      <c r="E109" s="30">
        <f>'аксел-ры 1 и 2 и интегр-ие  '!Q112</f>
        <v>1.089999199</v>
      </c>
      <c r="F109" s="30">
        <f>'аксел-ры 1 и 2 и интегр-ие  '!T112</f>
        <v>18.325065450187765</v>
      </c>
      <c r="G109" s="30">
        <f>'аксел-ры 1 и 2 и интегр-ие  '!AC112</f>
        <v>-0.13169324779533298</v>
      </c>
      <c r="H109" s="12"/>
      <c r="I109" s="30">
        <f t="shared" si="5"/>
        <v>1.089999199</v>
      </c>
      <c r="J109" s="30">
        <f>DEGREES(ASIN((G109-C109)/'Начальные условия и парам.'!$B$15))</f>
        <v>-19.999999999999982</v>
      </c>
      <c r="L109" s="30">
        <f t="shared" si="6"/>
        <v>1.089999199</v>
      </c>
      <c r="M109" s="30">
        <f>B109+SQRT(('Начальные условия и парам.'!$B$15+'Начальные условия и парам.'!$H$15)^2+('Начальные условия и парам.'!$K$15/2)^2)*COS(RADIANS(J109+'Начальные условия и парам.'!$E$19))</f>
        <v>22.425856076657066</v>
      </c>
      <c r="N109" s="30">
        <f>C109+SQRT(('Начальные условия и парам.'!$B$15+'Начальные условия и парам.'!$H$15)^2+('Начальные условия и парам.'!$K$15/2)^2)*SIN(RADIANS(J109+'Начальные условия и парам.'!$E$19))</f>
        <v>-0.56008120031209829</v>
      </c>
      <c r="P109" s="30">
        <f t="shared" si="7"/>
        <v>1.089999199</v>
      </c>
      <c r="Q109" s="30">
        <f>B109+SQRT(('Начальные условия и парам.'!$B$15+'Начальные условия и парам.'!$H$15)^2+('Начальные условия и парам.'!$K$15/2)^2)*COS(RADIANS(J109-'Начальные условия и парам.'!$E$19))</f>
        <v>21.741815790005731</v>
      </c>
      <c r="R109" s="30">
        <f>C109+SQRT(('Начальные условия и парам.'!$B$15+'Начальные условия и парам.'!$H$15)^2+('Начальные условия и парам.'!$K$15/2)^2)*SIN(RADIANS(J109-'Начальные условия и парам.'!$E$19))</f>
        <v>-2.4394664418839147</v>
      </c>
      <c r="T109" s="30">
        <f t="shared" si="8"/>
        <v>1.089999199</v>
      </c>
      <c r="U109" s="30">
        <f>B109+SQRT(('Начальные условия и парам.'!$E$15)^2+('Начальные условия и парам.'!$K$15/2)^2)*COS(RADIANS(J109+PI()+'Начальные условия и парам.'!$H$19))</f>
        <v>19.606760830225703</v>
      </c>
      <c r="V109" s="30">
        <f>C109+SQRT(('Начальные условия и парам.'!$E$15)^2+('Начальные условия и парам.'!$K$15/2)^2)*SIN(RADIANS(J109+PI()+'Начальные условия и парам.'!$H$19))</f>
        <v>0.63934878414468677</v>
      </c>
      <c r="X109" s="30">
        <f t="shared" si="9"/>
        <v>1.089999199</v>
      </c>
      <c r="Y109" s="30">
        <f>B109+SQRT(('Начальные условия и парам.'!$E$15)^2+('Начальные условия и парам.'!$K$15/2)^2)*COS(RADIANS(J109+PI()-'Начальные условия и парам.'!$H$19))</f>
        <v>19.026745753076963</v>
      </c>
      <c r="Z109" s="30">
        <f>C109+SQRT(('Начальные условия и парам.'!$E$15)^2+('Начальные условия и парам.'!$K$15/2)^2)*SIN(RADIANS(J109+PI()-'Начальные условия и парам.'!$H$19))</f>
        <v>-1.2746999378789035</v>
      </c>
    </row>
    <row r="110" spans="1:26" x14ac:dyDescent="0.25">
      <c r="A110" s="30">
        <f>'аксел-ры 1 и 2 и интегр-ие  '!M113</f>
        <v>1.09999907</v>
      </c>
      <c r="B110" s="30">
        <f>'аксел-ры 1 и 2 и интегр-ие  '!P113</f>
        <v>16.580191241071898</v>
      </c>
      <c r="C110" s="30">
        <f>'аксел-ры 1 и 2 и интегр-ие  '!Y113</f>
        <v>0.56507004551985318</v>
      </c>
      <c r="D110" s="12"/>
      <c r="E110" s="30">
        <f>'аксел-ры 1 и 2 и интегр-ие  '!Q113</f>
        <v>1.09999907</v>
      </c>
      <c r="F110" s="30">
        <f>'аксел-ры 1 и 2 и интегр-ие  '!T113</f>
        <v>18.459576482643712</v>
      </c>
      <c r="G110" s="30">
        <f>'аксел-ры 1 и 2 и интегр-ие  '!AC113</f>
        <v>-0.11897024113148369</v>
      </c>
      <c r="H110" s="12"/>
      <c r="I110" s="30">
        <f t="shared" si="5"/>
        <v>1.09999907</v>
      </c>
      <c r="J110" s="30">
        <f>DEGREES(ASIN((G110-C110)/'Начальные условия и парам.'!$B$15))</f>
        <v>-19.999999999999982</v>
      </c>
      <c r="L110" s="30">
        <f t="shared" si="6"/>
        <v>1.09999907</v>
      </c>
      <c r="M110" s="30">
        <f>B110+SQRT(('Начальные условия и парам.'!$B$15+'Начальные условия и парам.'!$H$15)^2+('Начальные условия и парам.'!$K$15/2)^2)*COS(RADIANS(J110+'Начальные условия и парам.'!$E$19))</f>
        <v>22.560367109113017</v>
      </c>
      <c r="N110" s="30">
        <f>C110+SQRT(('Начальные условия и парам.'!$B$15+'Начальные условия и парам.'!$H$15)^2+('Начальные условия и парам.'!$K$15/2)^2)*SIN(RADIANS(J110+'Начальные условия и парам.'!$E$19))</f>
        <v>-0.547358193648249</v>
      </c>
      <c r="P110" s="30">
        <f t="shared" si="7"/>
        <v>1.09999907</v>
      </c>
      <c r="Q110" s="30">
        <f>B110+SQRT(('Начальные условия и парам.'!$B$15+'Начальные условия и парам.'!$H$15)^2+('Начальные условия и парам.'!$K$15/2)^2)*COS(RADIANS(J110-'Начальные условия и парам.'!$E$19))</f>
        <v>21.876326822461678</v>
      </c>
      <c r="R110" s="30">
        <f>C110+SQRT(('Начальные условия и парам.'!$B$15+'Начальные условия и парам.'!$H$15)^2+('Начальные условия и парам.'!$K$15/2)^2)*SIN(RADIANS(J110-'Начальные условия и парам.'!$E$19))</f>
        <v>-2.4267434352200654</v>
      </c>
      <c r="T110" s="30">
        <f t="shared" si="8"/>
        <v>1.09999907</v>
      </c>
      <c r="U110" s="30">
        <f>B110+SQRT(('Начальные условия и парам.'!$E$15)^2+('Начальные условия и парам.'!$K$15/2)^2)*COS(RADIANS(J110+PI()+'Начальные условия и парам.'!$H$19))</f>
        <v>19.741271862681653</v>
      </c>
      <c r="V110" s="30">
        <f>C110+SQRT(('Начальные условия и парам.'!$E$15)^2+('Начальные условия и парам.'!$K$15/2)^2)*SIN(RADIANS(J110+PI()+'Начальные условия и парам.'!$H$19))</f>
        <v>0.65207179080853606</v>
      </c>
      <c r="X110" s="30">
        <f t="shared" si="9"/>
        <v>1.09999907</v>
      </c>
      <c r="Y110" s="30">
        <f>B110+SQRT(('Начальные условия и парам.'!$E$15)^2+('Начальные условия и парам.'!$K$15/2)^2)*COS(RADIANS(J110+PI()-'Начальные условия и парам.'!$H$19))</f>
        <v>19.161256785532913</v>
      </c>
      <c r="Z110" s="30">
        <f>C110+SQRT(('Начальные условия и парам.'!$E$15)^2+('Начальные условия и парам.'!$K$15/2)^2)*SIN(RADIANS(J110+PI()-'Начальные условия и парам.'!$H$19))</f>
        <v>-1.2619769312150542</v>
      </c>
    </row>
    <row r="111" spans="1:26" x14ac:dyDescent="0.25">
      <c r="A111" s="30">
        <f>'аксел-ры 1 и 2 и интегр-ие  '!M114</f>
        <v>1.109998941</v>
      </c>
      <c r="B111" s="30">
        <f>'аксел-ры 1 и 2 и интегр-ие  '!P114</f>
        <v>16.714669376855792</v>
      </c>
      <c r="C111" s="30">
        <f>'аксел-ры 1 и 2 и интегр-ие  '!Y114</f>
        <v>0.57889058121207793</v>
      </c>
      <c r="D111" s="12"/>
      <c r="E111" s="30">
        <f>'аксел-ры 1 и 2 и интегр-ие  '!Q114</f>
        <v>1.109998941</v>
      </c>
      <c r="F111" s="30">
        <f>'аксел-ры 1 и 2 и интегр-ие  '!T114</f>
        <v>18.594054618427609</v>
      </c>
      <c r="G111" s="30">
        <f>'аксел-ры 1 и 2 и интегр-ие  '!AC114</f>
        <v>-0.10514970543925983</v>
      </c>
      <c r="H111" s="12"/>
      <c r="I111" s="30">
        <f t="shared" si="5"/>
        <v>1.109998941</v>
      </c>
      <c r="J111" s="30">
        <f>DEGREES(ASIN((G111-C111)/'Начальные условия и парам.'!$B$15))</f>
        <v>-20.000000000000011</v>
      </c>
      <c r="L111" s="30">
        <f t="shared" si="6"/>
        <v>1.109998941</v>
      </c>
      <c r="M111" s="30">
        <f>B111+SQRT(('Начальные условия и парам.'!$B$15+'Начальные условия и парам.'!$H$15)^2+('Начальные условия и парам.'!$K$15/2)^2)*COS(RADIANS(J111+'Начальные условия и парам.'!$E$19))</f>
        <v>22.694845244896911</v>
      </c>
      <c r="N111" s="30">
        <f>C111+SQRT(('Начальные условия и парам.'!$B$15+'Начальные условия и парам.'!$H$15)^2+('Начальные условия и парам.'!$K$15/2)^2)*SIN(RADIANS(J111+'Начальные условия и парам.'!$E$19))</f>
        <v>-0.53353765795602714</v>
      </c>
      <c r="P111" s="30">
        <f t="shared" si="7"/>
        <v>1.109998941</v>
      </c>
      <c r="Q111" s="30">
        <f>B111+SQRT(('Начальные условия и парам.'!$B$15+'Начальные условия и парам.'!$H$15)^2+('Начальные условия и парам.'!$K$15/2)^2)*COS(RADIANS(J111-'Начальные условия и парам.'!$E$19))</f>
        <v>22.010804958245572</v>
      </c>
      <c r="R111" s="30">
        <f>C111+SQRT(('Начальные условия и парам.'!$B$15+'Начальные условия и парам.'!$H$15)^2+('Начальные условия и парам.'!$K$15/2)^2)*SIN(RADIANS(J111-'Начальные условия и парам.'!$E$19))</f>
        <v>-2.4129228995278433</v>
      </c>
      <c r="T111" s="30">
        <f t="shared" si="8"/>
        <v>1.109998941</v>
      </c>
      <c r="U111" s="30">
        <f>B111+SQRT(('Начальные условия и парам.'!$E$15)^2+('Начальные условия и парам.'!$K$15/2)^2)*COS(RADIANS(J111+PI()+'Начальные условия и парам.'!$H$19))</f>
        <v>19.875749998465547</v>
      </c>
      <c r="V111" s="30">
        <f>C111+SQRT(('Начальные условия и парам.'!$E$15)^2+('Начальные условия и парам.'!$K$15/2)^2)*SIN(RADIANS(J111+PI()+'Начальные условия и парам.'!$H$19))</f>
        <v>0.66589232650075925</v>
      </c>
      <c r="X111" s="30">
        <f t="shared" si="9"/>
        <v>1.109998941</v>
      </c>
      <c r="Y111" s="30">
        <f>B111+SQRT(('Начальные условия и парам.'!$E$15)^2+('Начальные условия и парам.'!$K$15/2)^2)*COS(RADIANS(J111+PI()-'Начальные условия и парам.'!$H$19))</f>
        <v>19.295734921316807</v>
      </c>
      <c r="Z111" s="30">
        <f>C111+SQRT(('Начальные условия и парам.'!$E$15)^2+('Начальные условия и парам.'!$K$15/2)^2)*SIN(RADIANS(J111+PI()-'Начальные условия и парам.'!$H$19))</f>
        <v>-1.2481563955228308</v>
      </c>
    </row>
    <row r="112" spans="1:26" x14ac:dyDescent="0.25">
      <c r="A112" s="30">
        <f>'аксел-ры 1 и 2 и интегр-ие  '!M115</f>
        <v>1.11999929</v>
      </c>
      <c r="B112" s="30">
        <f>'аксел-ры 1 и 2 и интегр-ие  '!P115</f>
        <v>16.849189668822529</v>
      </c>
      <c r="C112" s="30">
        <f>'аксел-ры 1 и 2 и интегр-ие  '!Y115</f>
        <v>0.59239494276110438</v>
      </c>
      <c r="D112" s="12"/>
      <c r="E112" s="30">
        <f>'аксел-ры 1 и 2 и интегр-ие  '!Q115</f>
        <v>1.11999929</v>
      </c>
      <c r="F112" s="30">
        <f>'аксел-ры 1 и 2 и интегр-ие  '!T115</f>
        <v>18.728574910394343</v>
      </c>
      <c r="G112" s="30">
        <f>'аксел-ры 1 и 2 и интегр-ие  '!AC115</f>
        <v>-9.1645343890232489E-2</v>
      </c>
      <c r="H112" s="12"/>
      <c r="I112" s="30">
        <f t="shared" si="5"/>
        <v>1.11999929</v>
      </c>
      <c r="J112" s="30">
        <f>DEGREES(ASIN((G112-C112)/'Начальные условия и парам.'!$B$15))</f>
        <v>-19.999999999999982</v>
      </c>
      <c r="L112" s="30">
        <f t="shared" si="6"/>
        <v>1.11999929</v>
      </c>
      <c r="M112" s="30">
        <f>B112+SQRT(('Начальные условия и парам.'!$B$15+'Начальные условия и парам.'!$H$15)^2+('Начальные условия и парам.'!$K$15/2)^2)*COS(RADIANS(J112+'Начальные условия и парам.'!$E$19))</f>
        <v>22.829365536863648</v>
      </c>
      <c r="N112" s="30">
        <f>C112+SQRT(('Начальные условия и парам.'!$B$15+'Начальные условия и парам.'!$H$15)^2+('Начальные условия и парам.'!$K$15/2)^2)*SIN(RADIANS(J112+'Начальные условия и парам.'!$E$19))</f>
        <v>-0.5200332964069978</v>
      </c>
      <c r="P112" s="30">
        <f t="shared" si="7"/>
        <v>1.11999929</v>
      </c>
      <c r="Q112" s="30">
        <f>B112+SQRT(('Начальные условия и парам.'!$B$15+'Начальные условия и парам.'!$H$15)^2+('Начальные условия и парам.'!$K$15/2)^2)*COS(RADIANS(J112-'Начальные условия и парам.'!$E$19))</f>
        <v>22.145325250212309</v>
      </c>
      <c r="R112" s="30">
        <f>C112+SQRT(('Начальные условия и парам.'!$B$15+'Начальные условия и парам.'!$H$15)^2+('Начальные условия и парам.'!$K$15/2)^2)*SIN(RADIANS(J112-'Начальные условия и парам.'!$E$19))</f>
        <v>-2.3994185379788142</v>
      </c>
      <c r="T112" s="30">
        <f t="shared" si="8"/>
        <v>1.11999929</v>
      </c>
      <c r="U112" s="30">
        <f>B112+SQRT(('Начальные условия и парам.'!$E$15)^2+('Начальные условия и парам.'!$K$15/2)^2)*COS(RADIANS(J112+PI()+'Начальные условия и парам.'!$H$19))</f>
        <v>20.010270290432285</v>
      </c>
      <c r="V112" s="30">
        <f>C112+SQRT(('Начальные условия и парам.'!$E$15)^2+('Начальные условия и парам.'!$K$15/2)^2)*SIN(RADIANS(J112+PI()+'Начальные условия и парам.'!$H$19))</f>
        <v>0.67939668804978726</v>
      </c>
      <c r="X112" s="30">
        <f t="shared" si="9"/>
        <v>1.11999929</v>
      </c>
      <c r="Y112" s="30">
        <f>B112+SQRT(('Начальные условия и парам.'!$E$15)^2+('Начальные условия и парам.'!$K$15/2)^2)*COS(RADIANS(J112+PI()-'Начальные условия и парам.'!$H$19))</f>
        <v>19.430255213283544</v>
      </c>
      <c r="Z112" s="30">
        <f>C112+SQRT(('Начальные условия и парам.'!$E$15)^2+('Начальные условия и парам.'!$K$15/2)^2)*SIN(RADIANS(J112+PI()-'Начальные условия и парам.'!$H$19))</f>
        <v>-1.234652033973803</v>
      </c>
    </row>
    <row r="113" spans="1:26" x14ac:dyDescent="0.25">
      <c r="A113" s="30">
        <f>'аксел-ры 1 и 2 и интегр-ие  '!M116</f>
        <v>1.129999161</v>
      </c>
      <c r="B113" s="30">
        <f>'аксел-ры 1 и 2 и интегр-ие  '!P116</f>
        <v>16.98372822730234</v>
      </c>
      <c r="C113" s="30">
        <f>'аксел-ры 1 и 2 и интегр-ие  '!Y116</f>
        <v>0.60465434671545371</v>
      </c>
      <c r="D113" s="12"/>
      <c r="E113" s="30">
        <f>'аксел-ры 1 и 2 и интегр-ие  '!Q116</f>
        <v>1.129999161</v>
      </c>
      <c r="F113" s="30">
        <f>'аксел-ры 1 и 2 и интегр-ие  '!T116</f>
        <v>18.863113468874154</v>
      </c>
      <c r="G113" s="30">
        <f>'аксел-ры 1 и 2 и интегр-ие  '!AC116</f>
        <v>-7.9385939935883165E-2</v>
      </c>
      <c r="H113" s="12"/>
      <c r="I113" s="30">
        <f t="shared" si="5"/>
        <v>1.129999161</v>
      </c>
      <c r="J113" s="30">
        <f>DEGREES(ASIN((G113-C113)/'Начальные условия и парам.'!$B$15))</f>
        <v>-19.999999999999982</v>
      </c>
      <c r="L113" s="30">
        <f t="shared" si="6"/>
        <v>1.129999161</v>
      </c>
      <c r="M113" s="30">
        <f>B113+SQRT(('Начальные условия и парам.'!$B$15+'Начальные условия и парам.'!$H$15)^2+('Начальные условия и парам.'!$K$15/2)^2)*COS(RADIANS(J113+'Начальные условия и парам.'!$E$19))</f>
        <v>22.963904095343459</v>
      </c>
      <c r="N113" s="30">
        <f>C113+SQRT(('Начальные условия и парам.'!$B$15+'Начальные условия и парам.'!$H$15)^2+('Начальные условия и парам.'!$K$15/2)^2)*SIN(RADIANS(J113+'Начальные условия и парам.'!$E$19))</f>
        <v>-0.50777389245264848</v>
      </c>
      <c r="P113" s="30">
        <f t="shared" si="7"/>
        <v>1.129999161</v>
      </c>
      <c r="Q113" s="30">
        <f>B113+SQRT(('Начальные условия и парам.'!$B$15+'Начальные условия и парам.'!$H$15)^2+('Начальные условия и парам.'!$K$15/2)^2)*COS(RADIANS(J113-'Начальные условия и парам.'!$E$19))</f>
        <v>22.27986380869212</v>
      </c>
      <c r="R113" s="30">
        <f>C113+SQRT(('Начальные условия и парам.'!$B$15+'Начальные условия и парам.'!$H$15)^2+('Начальные условия и парам.'!$K$15/2)^2)*SIN(RADIANS(J113-'Начальные условия и парам.'!$E$19))</f>
        <v>-2.3871591340244649</v>
      </c>
      <c r="T113" s="30">
        <f t="shared" si="8"/>
        <v>1.129999161</v>
      </c>
      <c r="U113" s="30">
        <f>B113+SQRT(('Начальные условия и парам.'!$E$15)^2+('Начальные условия и парам.'!$K$15/2)^2)*COS(RADIANS(J113+PI()+'Начальные условия и парам.'!$H$19))</f>
        <v>20.144808848912096</v>
      </c>
      <c r="V113" s="30">
        <f>C113+SQRT(('Начальные условия и парам.'!$E$15)^2+('Начальные условия и парам.'!$K$15/2)^2)*SIN(RADIANS(J113+PI()+'Начальные условия и парам.'!$H$19))</f>
        <v>0.69165609200413658</v>
      </c>
      <c r="X113" s="30">
        <f t="shared" si="9"/>
        <v>1.129999161</v>
      </c>
      <c r="Y113" s="30">
        <f>B113+SQRT(('Начальные условия и парам.'!$E$15)^2+('Начальные условия и парам.'!$K$15/2)^2)*COS(RADIANS(J113+PI()-'Начальные условия и парам.'!$H$19))</f>
        <v>19.564793771763355</v>
      </c>
      <c r="Z113" s="30">
        <f>C113+SQRT(('Начальные условия и парам.'!$E$15)^2+('Начальные условия и парам.'!$K$15/2)^2)*SIN(RADIANS(J113+PI()-'Начальные условия и парам.'!$H$19))</f>
        <v>-1.2223926300194536</v>
      </c>
    </row>
    <row r="114" spans="1:26" x14ac:dyDescent="0.25">
      <c r="A114" s="30">
        <f>'аксел-ры 1 и 2 и интегр-ие  '!M117</f>
        <v>1.139999032</v>
      </c>
      <c r="B114" s="30">
        <f>'аксел-ры 1 и 2 и интегр-ие  '!P117</f>
        <v>17.118203063083168</v>
      </c>
      <c r="C114" s="30">
        <f>'аксел-ры 1 и 2 и интегр-ие  '!Y117</f>
        <v>0.61584942502305307</v>
      </c>
      <c r="D114" s="12"/>
      <c r="E114" s="30">
        <f>'аксел-ры 1 и 2 и интегр-ие  '!Q117</f>
        <v>1.139999032</v>
      </c>
      <c r="F114" s="30">
        <f>'аксел-ры 1 и 2 и интегр-ие  '!T117</f>
        <v>18.997588304654986</v>
      </c>
      <c r="G114" s="30">
        <f>'аксел-ры 1 и 2 и интегр-ие  '!AC117</f>
        <v>-6.8190861628283805E-2</v>
      </c>
      <c r="H114" s="12"/>
      <c r="I114" s="30">
        <f t="shared" si="5"/>
        <v>1.139999032</v>
      </c>
      <c r="J114" s="30">
        <f>DEGREES(ASIN((G114-C114)/'Начальные условия и парам.'!$B$15))</f>
        <v>-19.999999999999982</v>
      </c>
      <c r="L114" s="30">
        <f t="shared" si="6"/>
        <v>1.139999032</v>
      </c>
      <c r="M114" s="30">
        <f>B114+SQRT(('Начальные условия и парам.'!$B$15+'Начальные условия и парам.'!$H$15)^2+('Начальные условия и парам.'!$K$15/2)^2)*COS(RADIANS(J114+'Начальные условия и парам.'!$E$19))</f>
        <v>23.098378931124287</v>
      </c>
      <c r="N114" s="30">
        <f>C114+SQRT(('Начальные условия и парам.'!$B$15+'Начальные условия и парам.'!$H$15)^2+('Начальные условия и парам.'!$K$15/2)^2)*SIN(RADIANS(J114+'Начальные условия и парам.'!$E$19))</f>
        <v>-0.49657881414504912</v>
      </c>
      <c r="P114" s="30">
        <f t="shared" si="7"/>
        <v>1.139999032</v>
      </c>
      <c r="Q114" s="30">
        <f>B114+SQRT(('Начальные условия и парам.'!$B$15+'Начальные условия и парам.'!$H$15)^2+('Начальные условия и парам.'!$K$15/2)^2)*COS(RADIANS(J114-'Начальные условия и парам.'!$E$19))</f>
        <v>22.414338644472949</v>
      </c>
      <c r="R114" s="30">
        <f>C114+SQRT(('Начальные условия и парам.'!$B$15+'Начальные условия и парам.'!$H$15)^2+('Начальные условия и парам.'!$K$15/2)^2)*SIN(RADIANS(J114-'Начальные условия и парам.'!$E$19))</f>
        <v>-2.3759640557168655</v>
      </c>
      <c r="T114" s="30">
        <f t="shared" si="8"/>
        <v>1.139999032</v>
      </c>
      <c r="U114" s="30">
        <f>B114+SQRT(('Начальные условия и парам.'!$E$15)^2+('Начальные условия и парам.'!$K$15/2)^2)*COS(RADIANS(J114+PI()+'Начальные условия и парам.'!$H$19))</f>
        <v>20.279283684692924</v>
      </c>
      <c r="V114" s="30">
        <f>C114+SQRT(('Начальные условия и парам.'!$E$15)^2+('Начальные условия и парам.'!$K$15/2)^2)*SIN(RADIANS(J114+PI()+'Начальные условия и парам.'!$H$19))</f>
        <v>0.70285117031173594</v>
      </c>
      <c r="X114" s="30">
        <f t="shared" si="9"/>
        <v>1.139999032</v>
      </c>
      <c r="Y114" s="30">
        <f>B114+SQRT(('Начальные условия и парам.'!$E$15)^2+('Начальные условия и парам.'!$K$15/2)^2)*COS(RADIANS(J114+PI()-'Начальные условия и парам.'!$H$19))</f>
        <v>19.699268607544184</v>
      </c>
      <c r="Z114" s="30">
        <f>C114+SQRT(('Начальные условия и парам.'!$E$15)^2+('Начальные условия и парам.'!$K$15/2)^2)*SIN(RADIANS(J114+PI()-'Начальные условия и парам.'!$H$19))</f>
        <v>-1.2111975517118543</v>
      </c>
    </row>
    <row r="115" spans="1:26" x14ac:dyDescent="0.25">
      <c r="A115" s="30">
        <f>'аксел-ры 1 и 2 и интегр-ие  '!M118</f>
        <v>1.149998903</v>
      </c>
      <c r="B115" s="30">
        <f>'аксел-ры 1 и 2 и интегр-ие  '!P118</f>
        <v>17.252652163756576</v>
      </c>
      <c r="C115" s="30">
        <f>'аксел-ры 1 и 2 и интегр-ие  '!Y118</f>
        <v>0.62647188731507697</v>
      </c>
      <c r="D115" s="12"/>
      <c r="E115" s="30">
        <f>'аксел-ры 1 и 2 и интегр-ие  '!Q118</f>
        <v>1.149998903</v>
      </c>
      <c r="F115" s="30">
        <f>'аксел-ры 1 и 2 и интегр-ие  '!T118</f>
        <v>19.132037405328393</v>
      </c>
      <c r="G115" s="30">
        <f>'аксел-ры 1 и 2 и интегр-ие  '!AC118</f>
        <v>-5.7568399336259901E-2</v>
      </c>
      <c r="H115" s="12"/>
      <c r="I115" s="30">
        <f t="shared" si="5"/>
        <v>1.149998903</v>
      </c>
      <c r="J115" s="30">
        <f>DEGREES(ASIN((G115-C115)/'Начальные условия и парам.'!$B$15))</f>
        <v>-19.999999999999982</v>
      </c>
      <c r="L115" s="30">
        <f t="shared" si="6"/>
        <v>1.149998903</v>
      </c>
      <c r="M115" s="30">
        <f>B115+SQRT(('Начальные условия и парам.'!$B$15+'Начальные условия и парам.'!$H$15)^2+('Начальные условия и парам.'!$K$15/2)^2)*COS(RADIANS(J115+'Начальные условия и парам.'!$E$19))</f>
        <v>23.232828031797695</v>
      </c>
      <c r="N115" s="30">
        <f>C115+SQRT(('Начальные условия и парам.'!$B$15+'Начальные условия и парам.'!$H$15)^2+('Начальные условия и парам.'!$K$15/2)^2)*SIN(RADIANS(J115+'Начальные условия и парам.'!$E$19))</f>
        <v>-0.48595635185302521</v>
      </c>
      <c r="P115" s="30">
        <f t="shared" si="7"/>
        <v>1.149998903</v>
      </c>
      <c r="Q115" s="30">
        <f>B115+SQRT(('Начальные условия и парам.'!$B$15+'Начальные условия и парам.'!$H$15)^2+('Начальные условия и парам.'!$K$15/2)^2)*COS(RADIANS(J115-'Начальные условия и парам.'!$E$19))</f>
        <v>22.548787745146356</v>
      </c>
      <c r="R115" s="30">
        <f>C115+SQRT(('Начальные условия и парам.'!$B$15+'Начальные условия и парам.'!$H$15)^2+('Начальные условия и парам.'!$K$15/2)^2)*SIN(RADIANS(J115-'Начальные условия и парам.'!$E$19))</f>
        <v>-2.3653415934248416</v>
      </c>
      <c r="T115" s="30">
        <f t="shared" si="8"/>
        <v>1.149998903</v>
      </c>
      <c r="U115" s="30">
        <f>B115+SQRT(('Начальные условия и парам.'!$E$15)^2+('Начальные условия и парам.'!$K$15/2)^2)*COS(RADIANS(J115+PI()+'Начальные условия и парам.'!$H$19))</f>
        <v>20.413732785366332</v>
      </c>
      <c r="V115" s="30">
        <f>C115+SQRT(('Начальные условия и парам.'!$E$15)^2+('Начальные условия и парам.'!$K$15/2)^2)*SIN(RADIANS(J115+PI()+'Начальные условия и парам.'!$H$19))</f>
        <v>0.71347363260375984</v>
      </c>
      <c r="X115" s="30">
        <f t="shared" si="9"/>
        <v>1.149998903</v>
      </c>
      <c r="Y115" s="30">
        <f>B115+SQRT(('Начальные условия и парам.'!$E$15)^2+('Начальные условия и парам.'!$K$15/2)^2)*COS(RADIANS(J115+PI()-'Начальные условия и парам.'!$H$19))</f>
        <v>19.833717708217591</v>
      </c>
      <c r="Z115" s="30">
        <f>C115+SQRT(('Начальные условия и парам.'!$E$15)^2+('Начальные условия и парам.'!$K$15/2)^2)*SIN(RADIANS(J115+PI()-'Начальные условия и парам.'!$H$19))</f>
        <v>-1.2005750894198304</v>
      </c>
    </row>
    <row r="116" spans="1:26" x14ac:dyDescent="0.25">
      <c r="A116" s="30">
        <f>'аксел-ры 1 и 2 и интегр-ие  '!M119</f>
        <v>1.1599992509999999</v>
      </c>
      <c r="B116" s="30">
        <f>'аксел-ры 1 и 2 и интегр-ие  '!P119</f>
        <v>17.387259352341342</v>
      </c>
      <c r="C116" s="30">
        <f>'аксел-ры 1 и 2 и интегр-ие  '!Y119</f>
        <v>0.63682780385063076</v>
      </c>
      <c r="D116" s="12"/>
      <c r="E116" s="30">
        <f>'аксел-ры 1 и 2 и интегр-ие  '!Q119</f>
        <v>1.1599992509999999</v>
      </c>
      <c r="F116" s="30">
        <f>'аксел-ры 1 и 2 и интегр-ие  '!T119</f>
        <v>19.266644593913156</v>
      </c>
      <c r="G116" s="30">
        <f>'аксел-ры 1 и 2 и интегр-ие  '!AC119</f>
        <v>-4.7212482800707001E-2</v>
      </c>
      <c r="H116" s="12"/>
      <c r="I116" s="30">
        <f t="shared" si="5"/>
        <v>1.1599992509999999</v>
      </c>
      <c r="J116" s="30">
        <f>DEGREES(ASIN((G116-C116)/'Начальные условия и парам.'!$B$15))</f>
        <v>-20.000000000000011</v>
      </c>
      <c r="L116" s="30">
        <f t="shared" si="6"/>
        <v>1.1599992509999999</v>
      </c>
      <c r="M116" s="30">
        <f>B116+SQRT(('Начальные условия и парам.'!$B$15+'Начальные условия и парам.'!$H$15)^2+('Начальные условия и парам.'!$K$15/2)^2)*COS(RADIANS(J116+'Начальные условия и парам.'!$E$19))</f>
        <v>23.367435220382461</v>
      </c>
      <c r="N116" s="30">
        <f>C116+SQRT(('Начальные условия и парам.'!$B$15+'Начальные условия и парам.'!$H$15)^2+('Начальные условия и парам.'!$K$15/2)^2)*SIN(RADIANS(J116+'Начальные условия и парам.'!$E$19))</f>
        <v>-0.47560043531747431</v>
      </c>
      <c r="P116" s="30">
        <f t="shared" si="7"/>
        <v>1.1599992509999999</v>
      </c>
      <c r="Q116" s="30">
        <f>B116+SQRT(('Начальные условия и парам.'!$B$15+'Начальные условия и парам.'!$H$15)^2+('Начальные условия и парам.'!$K$15/2)^2)*COS(RADIANS(J116-'Начальные условия и парам.'!$E$19))</f>
        <v>22.683394933731122</v>
      </c>
      <c r="R116" s="30">
        <f>C116+SQRT(('Начальные условия и парам.'!$B$15+'Начальные условия и парам.'!$H$15)^2+('Начальные условия и парам.'!$K$15/2)^2)*SIN(RADIANS(J116-'Начальные условия и парам.'!$E$19))</f>
        <v>-2.3549856768892905</v>
      </c>
      <c r="T116" s="30">
        <f t="shared" si="8"/>
        <v>1.1599992509999999</v>
      </c>
      <c r="U116" s="30">
        <f>B116+SQRT(('Начальные условия и парам.'!$E$15)^2+('Начальные условия и парам.'!$K$15/2)^2)*COS(RADIANS(J116+PI()+'Начальные условия и парам.'!$H$19))</f>
        <v>20.548339973951098</v>
      </c>
      <c r="V116" s="30">
        <f>C116+SQRT(('Начальные условия и парам.'!$E$15)^2+('Начальные условия и парам.'!$K$15/2)^2)*SIN(RADIANS(J116+PI()+'Начальные условия и парам.'!$H$19))</f>
        <v>0.72382954913931208</v>
      </c>
      <c r="X116" s="30">
        <f t="shared" si="9"/>
        <v>1.1599992509999999</v>
      </c>
      <c r="Y116" s="30">
        <f>B116+SQRT(('Начальные условия и парам.'!$E$15)^2+('Начальные условия и парам.'!$K$15/2)^2)*COS(RADIANS(J116+PI()-'Начальные условия и парам.'!$H$19))</f>
        <v>19.968324896802358</v>
      </c>
      <c r="Z116" s="30">
        <f>C116+SQRT(('Начальные условия и парам.'!$E$15)^2+('Начальные условия и парам.'!$K$15/2)^2)*SIN(RADIANS(J116+PI()-'Начальные условия и парам.'!$H$19))</f>
        <v>-1.1902191728842779</v>
      </c>
    </row>
    <row r="117" spans="1:26" x14ac:dyDescent="0.25">
      <c r="A117" s="30">
        <f>'аксел-ры 1 и 2 и интегр-ие  '!M120</f>
        <v>1.169999123</v>
      </c>
      <c r="B117" s="30">
        <f>'аксел-ры 1 и 2 и интегр-ие  '!P120</f>
        <v>17.522044944433283</v>
      </c>
      <c r="C117" s="30">
        <f>'аксел-ры 1 и 2 и интегр-ие  '!Y120</f>
        <v>0.64770237977255363</v>
      </c>
      <c r="D117" s="12"/>
      <c r="E117" s="30">
        <f>'аксел-ры 1 и 2 и интегр-ие  '!Q120</f>
        <v>1.169999123</v>
      </c>
      <c r="F117" s="30">
        <f>'аксел-ры 1 и 2 и интегр-ие  '!T120</f>
        <v>19.401430186005101</v>
      </c>
      <c r="G117" s="30">
        <f>'аксел-ры 1 и 2 и интегр-ие  '!AC120</f>
        <v>-3.6337906878784132E-2</v>
      </c>
      <c r="H117" s="12"/>
      <c r="I117" s="30">
        <f t="shared" si="5"/>
        <v>1.169999123</v>
      </c>
      <c r="J117" s="30">
        <f>DEGREES(ASIN((G117-C117)/'Начальные условия и парам.'!$B$15))</f>
        <v>-20.000000000000011</v>
      </c>
      <c r="L117" s="30">
        <f t="shared" si="6"/>
        <v>1.169999123</v>
      </c>
      <c r="M117" s="30">
        <f>B117+SQRT(('Начальные условия и парам.'!$B$15+'Начальные условия и парам.'!$H$15)^2+('Начальные условия и парам.'!$K$15/2)^2)*COS(RADIANS(J117+'Начальные условия и парам.'!$E$19))</f>
        <v>23.502220812474402</v>
      </c>
      <c r="N117" s="30">
        <f>C117+SQRT(('Начальные условия и парам.'!$B$15+'Начальные условия и парам.'!$H$15)^2+('Начальные условия и парам.'!$K$15/2)^2)*SIN(RADIANS(J117+'Начальные условия и парам.'!$E$19))</f>
        <v>-0.46472585939555144</v>
      </c>
      <c r="P117" s="30">
        <f t="shared" si="7"/>
        <v>1.169999123</v>
      </c>
      <c r="Q117" s="30">
        <f>B117+SQRT(('Начальные условия и парам.'!$B$15+'Начальные условия и парам.'!$H$15)^2+('Начальные условия и парам.'!$K$15/2)^2)*COS(RADIANS(J117-'Начальные условия и парам.'!$E$19))</f>
        <v>22.818180525823063</v>
      </c>
      <c r="R117" s="30">
        <f>C117+SQRT(('Начальные условия и парам.'!$B$15+'Начальные условия и парам.'!$H$15)^2+('Начальные условия и парам.'!$K$15/2)^2)*SIN(RADIANS(J117-'Начальные условия и парам.'!$E$19))</f>
        <v>-2.3441111009673676</v>
      </c>
      <c r="T117" s="30">
        <f t="shared" si="8"/>
        <v>1.169999123</v>
      </c>
      <c r="U117" s="30">
        <f>B117+SQRT(('Начальные условия и парам.'!$E$15)^2+('Начальные условия и парам.'!$K$15/2)^2)*COS(RADIANS(J117+PI()+'Начальные условия и парам.'!$H$19))</f>
        <v>20.683125566043039</v>
      </c>
      <c r="V117" s="30">
        <f>C117+SQRT(('Начальные условия и парам.'!$E$15)^2+('Начальные условия и парам.'!$K$15/2)^2)*SIN(RADIANS(J117+PI()+'Начальные условия и парам.'!$H$19))</f>
        <v>0.73470412506123495</v>
      </c>
      <c r="X117" s="30">
        <f t="shared" si="9"/>
        <v>1.169999123</v>
      </c>
      <c r="Y117" s="30">
        <f>B117+SQRT(('Начальные условия и парам.'!$E$15)^2+('Начальные условия и парам.'!$K$15/2)^2)*COS(RADIANS(J117+PI()-'Начальные условия и парам.'!$H$19))</f>
        <v>20.103110488894295</v>
      </c>
      <c r="Z117" s="30">
        <f>C117+SQRT(('Начальные условия и парам.'!$E$15)^2+('Начальные условия и парам.'!$K$15/2)^2)*SIN(RADIANS(J117+PI()-'Начальные условия и парам.'!$H$19))</f>
        <v>-1.1793445969623551</v>
      </c>
    </row>
    <row r="118" spans="1:26" x14ac:dyDescent="0.25">
      <c r="A118" s="30">
        <f>'аксел-ры 1 и 2 и интегр-ие  '!M121</f>
        <v>1.179998994</v>
      </c>
      <c r="B118" s="30">
        <f>'аксел-ры 1 и 2 и интегр-ие  '!P121</f>
        <v>17.656846010240184</v>
      </c>
      <c r="C118" s="30">
        <f>'аксел-ры 1 и 2 и интегр-ие  '!Y121</f>
        <v>0.66021646090035269</v>
      </c>
      <c r="D118" s="12"/>
      <c r="E118" s="30">
        <f>'аксел-ры 1 и 2 и интегр-ие  '!Q121</f>
        <v>1.179998994</v>
      </c>
      <c r="F118" s="30">
        <f>'аксел-ры 1 и 2 и интегр-ие  '!T121</f>
        <v>19.536231251811998</v>
      </c>
      <c r="G118" s="30">
        <f>'аксел-ры 1 и 2 и интегр-ие  '!AC121</f>
        <v>-2.3823825750985073E-2</v>
      </c>
      <c r="H118" s="12"/>
      <c r="I118" s="30">
        <f t="shared" si="5"/>
        <v>1.179998994</v>
      </c>
      <c r="J118" s="30">
        <f>DEGREES(ASIN((G118-C118)/'Начальные условия и парам.'!$B$15))</f>
        <v>-20.000000000000011</v>
      </c>
      <c r="L118" s="30">
        <f t="shared" si="6"/>
        <v>1.179998994</v>
      </c>
      <c r="M118" s="30">
        <f>B118+SQRT(('Начальные условия и парам.'!$B$15+'Начальные условия и парам.'!$H$15)^2+('Начальные условия и парам.'!$K$15/2)^2)*COS(RADIANS(J118+'Начальные условия и парам.'!$E$19))</f>
        <v>23.637021878281303</v>
      </c>
      <c r="N118" s="30">
        <f>C118+SQRT(('Начальные условия и парам.'!$B$15+'Начальные условия и парам.'!$H$15)^2+('Начальные условия и парам.'!$K$15/2)^2)*SIN(RADIANS(J118+'Начальные условия и парам.'!$E$19))</f>
        <v>-0.45221177826775238</v>
      </c>
      <c r="P118" s="30">
        <f t="shared" si="7"/>
        <v>1.179998994</v>
      </c>
      <c r="Q118" s="30">
        <f>B118+SQRT(('Начальные условия и парам.'!$B$15+'Начальные условия и парам.'!$H$15)^2+('Начальные условия и парам.'!$K$15/2)^2)*COS(RADIANS(J118-'Начальные условия и парам.'!$E$19))</f>
        <v>22.952981591629964</v>
      </c>
      <c r="R118" s="30">
        <f>C118+SQRT(('Начальные условия и парам.'!$B$15+'Начальные условия и парам.'!$H$15)^2+('Начальные условия и парам.'!$K$15/2)^2)*SIN(RADIANS(J118-'Начальные условия и парам.'!$E$19))</f>
        <v>-2.3315970198395686</v>
      </c>
      <c r="T118" s="30">
        <f t="shared" si="8"/>
        <v>1.179998994</v>
      </c>
      <c r="U118" s="30">
        <f>B118+SQRT(('Начальные условия и парам.'!$E$15)^2+('Начальные условия и парам.'!$K$15/2)^2)*COS(RADIANS(J118+PI()+'Начальные условия и парам.'!$H$19))</f>
        <v>20.817926631849939</v>
      </c>
      <c r="V118" s="30">
        <f>C118+SQRT(('Начальные условия и парам.'!$E$15)^2+('Начальные условия и парам.'!$K$15/2)^2)*SIN(RADIANS(J118+PI()+'Начальные условия и парам.'!$H$19))</f>
        <v>0.74721820618903401</v>
      </c>
      <c r="X118" s="30">
        <f t="shared" si="9"/>
        <v>1.179998994</v>
      </c>
      <c r="Y118" s="30">
        <f>B118+SQRT(('Начальные условия и парам.'!$E$15)^2+('Начальные условия и парам.'!$K$15/2)^2)*COS(RADIANS(J118+PI()-'Начальные условия и парам.'!$H$19))</f>
        <v>20.237911554701199</v>
      </c>
      <c r="Z118" s="30">
        <f>C118+SQRT(('Начальные условия и парам.'!$E$15)^2+('Начальные условия и парам.'!$K$15/2)^2)*SIN(RADIANS(J118+PI()-'Начальные условия и парам.'!$H$19))</f>
        <v>-1.166830515834556</v>
      </c>
    </row>
    <row r="119" spans="1:26" x14ac:dyDescent="0.25">
      <c r="A119" s="30">
        <f>'аксел-ры 1 и 2 и интегр-ие  '!M122</f>
        <v>1.189998865</v>
      </c>
      <c r="B119" s="30">
        <f>'аксел-ры 1 и 2 и интегр-ие  '!P122</f>
        <v>17.791474285857905</v>
      </c>
      <c r="C119" s="30">
        <f>'аксел-ры 1 и 2 и интегр-ие  '!Y122</f>
        <v>0.6744876044914756</v>
      </c>
      <c r="D119" s="12"/>
      <c r="E119" s="30">
        <f>'аксел-ры 1 и 2 и интегр-ие  '!Q122</f>
        <v>1.189998865</v>
      </c>
      <c r="F119" s="30">
        <f>'аксел-ры 1 и 2 и интегр-ие  '!T122</f>
        <v>19.670859527429723</v>
      </c>
      <c r="G119" s="30">
        <f>'аксел-ры 1 и 2 и интегр-ие  '!AC122</f>
        <v>-9.5526821598612699E-3</v>
      </c>
      <c r="H119" s="12"/>
      <c r="I119" s="30">
        <f t="shared" si="5"/>
        <v>1.189998865</v>
      </c>
      <c r="J119" s="30">
        <f>DEGREES(ASIN((G119-C119)/'Начальные условия и парам.'!$B$15))</f>
        <v>-19.999999999999982</v>
      </c>
      <c r="L119" s="30">
        <f t="shared" si="6"/>
        <v>1.189998865</v>
      </c>
      <c r="M119" s="30">
        <f>B119+SQRT(('Начальные условия и парам.'!$B$15+'Начальные условия и парам.'!$H$15)^2+('Начальные условия и парам.'!$K$15/2)^2)*COS(RADIANS(J119+'Начальные условия и парам.'!$E$19))</f>
        <v>23.771650153899024</v>
      </c>
      <c r="N119" s="30">
        <f>C119+SQRT(('Начальные условия и парам.'!$B$15+'Начальные условия и парам.'!$H$15)^2+('Начальные условия и парам.'!$K$15/2)^2)*SIN(RADIANS(J119+'Начальные условия и парам.'!$E$19))</f>
        <v>-0.43794063467662658</v>
      </c>
      <c r="P119" s="30">
        <f t="shared" si="7"/>
        <v>1.189998865</v>
      </c>
      <c r="Q119" s="30">
        <f>B119+SQRT(('Начальные условия и парам.'!$B$15+'Начальные условия и парам.'!$H$15)^2+('Начальные условия и парам.'!$K$15/2)^2)*COS(RADIANS(J119-'Начальные условия и парам.'!$E$19))</f>
        <v>23.087609867247686</v>
      </c>
      <c r="R119" s="30">
        <f>C119+SQRT(('Начальные условия и парам.'!$B$15+'Начальные условия и парам.'!$H$15)^2+('Начальные условия и парам.'!$K$15/2)^2)*SIN(RADIANS(J119-'Начальные условия и парам.'!$E$19))</f>
        <v>-2.317325876248443</v>
      </c>
      <c r="T119" s="30">
        <f t="shared" si="8"/>
        <v>1.189998865</v>
      </c>
      <c r="U119" s="30">
        <f>B119+SQRT(('Начальные условия и парам.'!$E$15)^2+('Начальные условия и парам.'!$K$15/2)^2)*COS(RADIANS(J119+PI()+'Начальные условия и парам.'!$H$19))</f>
        <v>20.952554907467661</v>
      </c>
      <c r="V119" s="30">
        <f>C119+SQRT(('Начальные условия и парам.'!$E$15)^2+('Начальные условия и парам.'!$K$15/2)^2)*SIN(RADIANS(J119+PI()+'Начальные условия и парам.'!$H$19))</f>
        <v>0.76148934978015848</v>
      </c>
      <c r="X119" s="30">
        <f t="shared" si="9"/>
        <v>1.189998865</v>
      </c>
      <c r="Y119" s="30">
        <f>B119+SQRT(('Начальные условия и парам.'!$E$15)^2+('Начальные условия и парам.'!$K$15/2)^2)*COS(RADIANS(J119+PI()-'Начальные условия и парам.'!$H$19))</f>
        <v>20.372539830318921</v>
      </c>
      <c r="Z119" s="30">
        <f>C119+SQRT(('Начальные условия и парам.'!$E$15)^2+('Начальные условия и парам.'!$K$15/2)^2)*SIN(RADIANS(J119+PI()-'Начальные условия и парам.'!$H$19))</f>
        <v>-1.1525593722434317</v>
      </c>
    </row>
    <row r="120" spans="1:26" x14ac:dyDescent="0.25">
      <c r="A120" s="30">
        <f>'аксел-ры 1 и 2 и интегр-ие  '!M123</f>
        <v>1.1999992129999999</v>
      </c>
      <c r="B120" s="30">
        <f>'аксел-ры 1 и 2 и интегр-ие  '!P123</f>
        <v>17.925789166035816</v>
      </c>
      <c r="C120" s="30">
        <f>'аксел-ры 1 и 2 и интегр-ие  '!Y123</f>
        <v>0.68944880017760379</v>
      </c>
      <c r="D120" s="12"/>
      <c r="E120" s="30">
        <f>'аксел-ры 1 и 2 и интегр-ие  '!Q123</f>
        <v>1.1999992129999999</v>
      </c>
      <c r="F120" s="30">
        <f>'аксел-ры 1 и 2 и интегр-ие  '!T123</f>
        <v>19.805174407607634</v>
      </c>
      <c r="G120" s="30">
        <f>'аксел-ры 1 и 2 и интегр-ие  '!AC123</f>
        <v>5.4085135262660344E-3</v>
      </c>
      <c r="H120" s="12"/>
      <c r="I120" s="30">
        <f t="shared" si="5"/>
        <v>1.1999992129999999</v>
      </c>
      <c r="J120" s="30">
        <f>DEGREES(ASIN((G120-C120)/'Начальные условия и парам.'!$B$15))</f>
        <v>-20.000000000000011</v>
      </c>
      <c r="L120" s="30">
        <f t="shared" si="6"/>
        <v>1.1999992129999999</v>
      </c>
      <c r="M120" s="30">
        <f>B120+SQRT(('Начальные условия и парам.'!$B$15+'Начальные условия и парам.'!$H$15)^2+('Начальные условия и парам.'!$K$15/2)^2)*COS(RADIANS(J120+'Начальные условия и парам.'!$E$19))</f>
        <v>23.905965034076935</v>
      </c>
      <c r="N120" s="30">
        <f>C120+SQRT(('Начальные условия и парам.'!$B$15+'Начальные условия и парам.'!$H$15)^2+('Начальные условия и парам.'!$K$15/2)^2)*SIN(RADIANS(J120+'Начальные условия и парам.'!$E$19))</f>
        <v>-0.42297943899050128</v>
      </c>
      <c r="P120" s="30">
        <f t="shared" si="7"/>
        <v>1.1999992129999999</v>
      </c>
      <c r="Q120" s="30">
        <f>B120+SQRT(('Начальные условия и парам.'!$B$15+'Начальные условия и парам.'!$H$15)^2+('Начальные условия и парам.'!$K$15/2)^2)*COS(RADIANS(J120-'Начальные условия и парам.'!$E$19))</f>
        <v>23.221924747425597</v>
      </c>
      <c r="R120" s="30">
        <f>C120+SQRT(('Начальные условия и парам.'!$B$15+'Начальные условия и парам.'!$H$15)^2+('Начальные условия и парам.'!$K$15/2)^2)*SIN(RADIANS(J120-'Начальные условия и парам.'!$E$19))</f>
        <v>-2.3023646805623175</v>
      </c>
      <c r="T120" s="30">
        <f t="shared" si="8"/>
        <v>1.1999992129999999</v>
      </c>
      <c r="U120" s="30">
        <f>B120+SQRT(('Начальные условия и парам.'!$E$15)^2+('Начальные условия и парам.'!$K$15/2)^2)*COS(RADIANS(J120+PI()+'Начальные условия и парам.'!$H$19))</f>
        <v>21.086869787645572</v>
      </c>
      <c r="V120" s="30">
        <f>C120+SQRT(('Начальные условия и парам.'!$E$15)^2+('Начальные условия и парам.'!$K$15/2)^2)*SIN(RADIANS(J120+PI()+'Начальные условия и парам.'!$H$19))</f>
        <v>0.77645054546628511</v>
      </c>
      <c r="X120" s="30">
        <f t="shared" si="9"/>
        <v>1.1999992129999999</v>
      </c>
      <c r="Y120" s="30">
        <f>B120+SQRT(('Начальные условия и парам.'!$E$15)^2+('Начальные условия и парам.'!$K$15/2)^2)*COS(RADIANS(J120+PI()-'Начальные условия и парам.'!$H$19))</f>
        <v>20.506854710496832</v>
      </c>
      <c r="Z120" s="30">
        <f>C120+SQRT(('Начальные условия и парам.'!$E$15)^2+('Начальные условия и парам.'!$K$15/2)^2)*SIN(RADIANS(J120+PI()-'Начальные условия и парам.'!$H$19))</f>
        <v>-1.1375981765573049</v>
      </c>
    </row>
    <row r="121" spans="1:26" x14ac:dyDescent="0.25">
      <c r="A121" s="30">
        <f>'аксел-ры 1 и 2 и интегр-ие  '!M124</f>
        <v>1.209999085</v>
      </c>
      <c r="B121" s="30">
        <f>'аксел-ры 1 и 2 и интегр-ие  '!P124</f>
        <v>18.059638782384436</v>
      </c>
      <c r="C121" s="30">
        <f>'аксел-ры 1 и 2 и интегр-ие  '!Y124</f>
        <v>0.70437009405000151</v>
      </c>
      <c r="D121" s="12"/>
      <c r="E121" s="30">
        <f>'аксел-ры 1 и 2 и интегр-ие  '!Q124</f>
        <v>1.209999085</v>
      </c>
      <c r="F121" s="30">
        <f>'аксел-ры 1 и 2 и интегр-ие  '!T124</f>
        <v>19.939024023956254</v>
      </c>
      <c r="G121" s="30">
        <f>'аксел-ры 1 и 2 и интегр-ие  '!AC124</f>
        <v>2.0329807398664634E-2</v>
      </c>
      <c r="H121" s="12"/>
      <c r="I121" s="30">
        <f t="shared" si="5"/>
        <v>1.209999085</v>
      </c>
      <c r="J121" s="30">
        <f>DEGREES(ASIN((G121-C121)/'Начальные условия и парам.'!$B$15))</f>
        <v>-19.999999999999982</v>
      </c>
      <c r="L121" s="30">
        <f t="shared" si="6"/>
        <v>1.209999085</v>
      </c>
      <c r="M121" s="30">
        <f>B121+SQRT(('Начальные условия и парам.'!$B$15+'Начальные условия и парам.'!$H$15)^2+('Начальные условия и парам.'!$K$15/2)^2)*COS(RADIANS(J121+'Начальные условия и парам.'!$E$19))</f>
        <v>24.039814650425555</v>
      </c>
      <c r="N121" s="30">
        <f>C121+SQRT(('Начальные условия и парам.'!$B$15+'Начальные условия и парам.'!$H$15)^2+('Начальные условия и парам.'!$K$15/2)^2)*SIN(RADIANS(J121+'Начальные условия и парам.'!$E$19))</f>
        <v>-0.40805814511810068</v>
      </c>
      <c r="P121" s="30">
        <f t="shared" si="7"/>
        <v>1.209999085</v>
      </c>
      <c r="Q121" s="30">
        <f>B121+SQRT(('Начальные условия и парам.'!$B$15+'Начальные условия и парам.'!$H$15)^2+('Начальные условия и парам.'!$K$15/2)^2)*COS(RADIANS(J121-'Начальные условия и парам.'!$E$19))</f>
        <v>23.355774363774216</v>
      </c>
      <c r="R121" s="30">
        <f>C121+SQRT(('Начальные условия и парам.'!$B$15+'Начальные условия и парам.'!$H$15)^2+('Начальные условия и парам.'!$K$15/2)^2)*SIN(RADIANS(J121-'Начальные условия и парам.'!$E$19))</f>
        <v>-2.2874433866899171</v>
      </c>
      <c r="T121" s="30">
        <f t="shared" si="8"/>
        <v>1.209999085</v>
      </c>
      <c r="U121" s="30">
        <f>B121+SQRT(('Начальные условия и парам.'!$E$15)^2+('Начальные условия и парам.'!$K$15/2)^2)*COS(RADIANS(J121+PI()+'Начальные условия и парам.'!$H$19))</f>
        <v>21.220719403994192</v>
      </c>
      <c r="V121" s="30">
        <f>C121+SQRT(('Начальные условия и парам.'!$E$15)^2+('Начальные условия и парам.'!$K$15/2)^2)*SIN(RADIANS(J121+PI()+'Начальные условия и парам.'!$H$19))</f>
        <v>0.79137183933868438</v>
      </c>
      <c r="X121" s="30">
        <f t="shared" si="9"/>
        <v>1.209999085</v>
      </c>
      <c r="Y121" s="30">
        <f>B121+SQRT(('Начальные условия и парам.'!$E$15)^2+('Начальные условия и парам.'!$K$15/2)^2)*COS(RADIANS(J121+PI()-'Начальные условия и парам.'!$H$19))</f>
        <v>20.640704326845452</v>
      </c>
      <c r="Z121" s="30">
        <f>C121+SQRT(('Начальные условия и парам.'!$E$15)^2+('Начальные условия и парам.'!$K$15/2)^2)*SIN(RADIANS(J121+PI()-'Начальные условия и парам.'!$H$19))</f>
        <v>-1.1226768826849058</v>
      </c>
    </row>
    <row r="122" spans="1:26" x14ac:dyDescent="0.25">
      <c r="A122" s="30">
        <f>'аксел-ры 1 и 2 и интегр-ие  '!M125</f>
        <v>1.219998956</v>
      </c>
      <c r="B122" s="30">
        <f>'аксел-ры 1 и 2 и интегр-ие  '!P125</f>
        <v>18.193098265638426</v>
      </c>
      <c r="C122" s="30">
        <f>'аксел-ры 1 и 2 и интегр-ие  '!Y125</f>
        <v>0.71945449086980151</v>
      </c>
      <c r="D122" s="12"/>
      <c r="E122" s="30">
        <f>'аксел-ры 1 и 2 и интегр-ие  '!Q125</f>
        <v>1.219998956</v>
      </c>
      <c r="F122" s="30">
        <f>'аксел-ры 1 и 2 и интегр-ие  '!T125</f>
        <v>20.072483507210244</v>
      </c>
      <c r="G122" s="30">
        <f>'аксел-ры 1 и 2 и интегр-ие  '!AC125</f>
        <v>3.541420421846464E-2</v>
      </c>
      <c r="H122" s="12"/>
      <c r="I122" s="30">
        <f t="shared" si="5"/>
        <v>1.219998956</v>
      </c>
      <c r="J122" s="30">
        <f>DEGREES(ASIN((G122-C122)/'Начальные условия и парам.'!$B$15))</f>
        <v>-19.999999999999982</v>
      </c>
      <c r="L122" s="30">
        <f t="shared" si="6"/>
        <v>1.219998956</v>
      </c>
      <c r="M122" s="30">
        <f>B122+SQRT(('Начальные условия и парам.'!$B$15+'Начальные условия и парам.'!$H$15)^2+('Начальные условия и парам.'!$K$15/2)^2)*COS(RADIANS(J122+'Начальные условия и парам.'!$E$19))</f>
        <v>24.173274133679545</v>
      </c>
      <c r="N122" s="30">
        <f>C122+SQRT(('Начальные условия и парам.'!$B$15+'Начальные условия и парам.'!$H$15)^2+('Начальные условия и парам.'!$K$15/2)^2)*SIN(RADIANS(J122+'Начальные условия и парам.'!$E$19))</f>
        <v>-0.39297374829830067</v>
      </c>
      <c r="P122" s="30">
        <f t="shared" si="7"/>
        <v>1.219998956</v>
      </c>
      <c r="Q122" s="30">
        <f>B122+SQRT(('Начальные условия и парам.'!$B$15+'Начальные условия и парам.'!$H$15)^2+('Начальные условия и парам.'!$K$15/2)^2)*COS(RADIANS(J122-'Начальные условия и парам.'!$E$19))</f>
        <v>23.48923384702821</v>
      </c>
      <c r="R122" s="30">
        <f>C122+SQRT(('Начальные условия и парам.'!$B$15+'Начальные условия и парам.'!$H$15)^2+('Начальные условия и парам.'!$K$15/2)^2)*SIN(RADIANS(J122-'Начальные условия и парам.'!$E$19))</f>
        <v>-2.2723589898701171</v>
      </c>
      <c r="T122" s="30">
        <f t="shared" si="8"/>
        <v>1.219998956</v>
      </c>
      <c r="U122" s="30">
        <f>B122+SQRT(('Начальные условия и парам.'!$E$15)^2+('Начальные условия и парам.'!$K$15/2)^2)*COS(RADIANS(J122+PI()+'Начальные условия и парам.'!$H$19))</f>
        <v>21.354178887248182</v>
      </c>
      <c r="V122" s="30">
        <f>C122+SQRT(('Начальные условия и парам.'!$E$15)^2+('Начальные условия и парам.'!$K$15/2)^2)*SIN(RADIANS(J122+PI()+'Начальные условия и парам.'!$H$19))</f>
        <v>0.80645623615848439</v>
      </c>
      <c r="X122" s="30">
        <f t="shared" si="9"/>
        <v>1.219998956</v>
      </c>
      <c r="Y122" s="30">
        <f>B122+SQRT(('Начальные условия и парам.'!$E$15)^2+('Начальные условия и парам.'!$K$15/2)^2)*COS(RADIANS(J122+PI()-'Начальные условия и парам.'!$H$19))</f>
        <v>20.774163810099441</v>
      </c>
      <c r="Z122" s="30">
        <f>C122+SQRT(('Начальные условия и парам.'!$E$15)^2+('Начальные условия и парам.'!$K$15/2)^2)*SIN(RADIANS(J122+PI()-'Начальные условия и парам.'!$H$19))</f>
        <v>-1.1075924858651058</v>
      </c>
    </row>
    <row r="123" spans="1:26" x14ac:dyDescent="0.25">
      <c r="A123" s="30">
        <f>'аксел-ры 1 и 2 и интегр-ие  '!M126</f>
        <v>1.229998827</v>
      </c>
      <c r="B123" s="30">
        <f>'аксел-ры 1 и 2 и интегр-ие  '!P126</f>
        <v>18.326559081999417</v>
      </c>
      <c r="C123" s="30">
        <f>'аксел-ры 1 и 2 и интегр-ие  '!Y126</f>
        <v>0.73476338764685067</v>
      </c>
      <c r="D123" s="12"/>
      <c r="E123" s="30">
        <f>'аксел-ры 1 и 2 и интегр-ие  '!Q126</f>
        <v>1.229998827</v>
      </c>
      <c r="F123" s="30">
        <f>'аксел-ры 1 и 2 и интегр-ие  '!T126</f>
        <v>20.205944323571234</v>
      </c>
      <c r="G123" s="30">
        <f>'аксел-ры 1 и 2 и интегр-ие  '!AC126</f>
        <v>5.0723100995512915E-2</v>
      </c>
      <c r="H123" s="12"/>
      <c r="I123" s="30">
        <f t="shared" si="5"/>
        <v>1.229998827</v>
      </c>
      <c r="J123" s="30">
        <f>DEGREES(ASIN((G123-C123)/'Начальные условия и парам.'!$B$15))</f>
        <v>-20.000000000000011</v>
      </c>
      <c r="L123" s="30">
        <f t="shared" si="6"/>
        <v>1.229998827</v>
      </c>
      <c r="M123" s="30">
        <f>B123+SQRT(('Начальные условия и парам.'!$B$15+'Начальные условия и парам.'!$H$15)^2+('Начальные условия и парам.'!$K$15/2)^2)*COS(RADIANS(J123+'Начальные условия и парам.'!$E$19))</f>
        <v>24.306734950040536</v>
      </c>
      <c r="N123" s="30">
        <f>C123+SQRT(('Начальные условия и парам.'!$B$15+'Начальные условия и парам.'!$H$15)^2+('Начальные условия и парам.'!$K$15/2)^2)*SIN(RADIANS(J123+'Начальные условия и парам.'!$E$19))</f>
        <v>-0.3776648515212544</v>
      </c>
      <c r="P123" s="30">
        <f t="shared" si="7"/>
        <v>1.229998827</v>
      </c>
      <c r="Q123" s="30">
        <f>B123+SQRT(('Начальные условия и парам.'!$B$15+'Начальные условия и парам.'!$H$15)^2+('Начальные условия и парам.'!$K$15/2)^2)*COS(RADIANS(J123-'Начальные условия и парам.'!$E$19))</f>
        <v>23.622694663389197</v>
      </c>
      <c r="R123" s="30">
        <f>C123+SQRT(('Начальные условия и парам.'!$B$15+'Начальные условия и парам.'!$H$15)^2+('Начальные условия и парам.'!$K$15/2)^2)*SIN(RADIANS(J123-'Начальные условия и парам.'!$E$19))</f>
        <v>-2.2570500930930706</v>
      </c>
      <c r="T123" s="30">
        <f t="shared" si="8"/>
        <v>1.229998827</v>
      </c>
      <c r="U123" s="30">
        <f>B123+SQRT(('Начальные условия и парам.'!$E$15)^2+('Начальные условия и парам.'!$K$15/2)^2)*COS(RADIANS(J123+PI()+'Начальные условия и парам.'!$H$19))</f>
        <v>21.487639703609172</v>
      </c>
      <c r="V123" s="30">
        <f>C123+SQRT(('Начальные условия и парам.'!$E$15)^2+('Начальные условия и парам.'!$K$15/2)^2)*SIN(RADIANS(J123+PI()+'Начальные условия и парам.'!$H$19))</f>
        <v>0.82176513293553199</v>
      </c>
      <c r="X123" s="30">
        <f t="shared" si="9"/>
        <v>1.229998827</v>
      </c>
      <c r="Y123" s="30">
        <f>B123+SQRT(('Начальные условия и парам.'!$E$15)^2+('Начальные условия и парам.'!$K$15/2)^2)*COS(RADIANS(J123+PI()-'Начальные условия и парам.'!$H$19))</f>
        <v>20.907624626460432</v>
      </c>
      <c r="Z123" s="30">
        <f>C123+SQRT(('Начальные условия и парам.'!$E$15)^2+('Начальные условия и парам.'!$K$15/2)^2)*SIN(RADIANS(J123+PI()-'Начальные условия и парам.'!$H$19))</f>
        <v>-1.092283589088058</v>
      </c>
    </row>
    <row r="124" spans="1:26" x14ac:dyDescent="0.25">
      <c r="A124" s="30">
        <f>'аксел-ры 1 и 2 и интегр-ие  '!M127</f>
        <v>1.2399991749999999</v>
      </c>
      <c r="B124" s="30">
        <f>'аксел-ры 1 и 2 и интегр-ие  '!P127</f>
        <v>18.46043190851832</v>
      </c>
      <c r="C124" s="30">
        <f>'аксел-ры 1 и 2 и интегр-ие  '!Y127</f>
        <v>0.74961068738562808</v>
      </c>
      <c r="D124" s="12"/>
      <c r="E124" s="30">
        <f>'аксел-ры 1 и 2 и интегр-ие  '!Q127</f>
        <v>1.2399991749999999</v>
      </c>
      <c r="F124" s="30">
        <f>'аксел-ры 1 и 2 и интегр-ие  '!T127</f>
        <v>20.339817150090134</v>
      </c>
      <c r="G124" s="30">
        <f>'аксел-ры 1 и 2 и интегр-ие  '!AC127</f>
        <v>6.5570400734291212E-2</v>
      </c>
      <c r="H124" s="12"/>
      <c r="I124" s="30">
        <f t="shared" si="5"/>
        <v>1.2399991749999999</v>
      </c>
      <c r="J124" s="30">
        <f>DEGREES(ASIN((G124-C124)/'Начальные условия и парам.'!$B$15))</f>
        <v>-19.999999999999982</v>
      </c>
      <c r="L124" s="30">
        <f t="shared" si="6"/>
        <v>1.2399991749999999</v>
      </c>
      <c r="M124" s="30">
        <f>B124+SQRT(('Начальные условия и парам.'!$B$15+'Начальные условия и парам.'!$H$15)^2+('Начальные условия и парам.'!$K$15/2)^2)*COS(RADIANS(J124+'Начальные условия и парам.'!$E$19))</f>
        <v>24.440607776559439</v>
      </c>
      <c r="N124" s="30">
        <f>C124+SQRT(('Начальные условия и парам.'!$B$15+'Начальные условия и парам.'!$H$15)^2+('Начальные условия и парам.'!$K$15/2)^2)*SIN(RADIANS(J124+'Начальные условия и парам.'!$E$19))</f>
        <v>-0.3628175517824741</v>
      </c>
      <c r="P124" s="30">
        <f t="shared" si="7"/>
        <v>1.2399991749999999</v>
      </c>
      <c r="Q124" s="30">
        <f>B124+SQRT(('Начальные условия и парам.'!$B$15+'Начальные условия и парам.'!$H$15)^2+('Начальные условия и парам.'!$K$15/2)^2)*COS(RADIANS(J124-'Начальные условия и парам.'!$E$19))</f>
        <v>23.7565674899081</v>
      </c>
      <c r="R124" s="30">
        <f>C124+SQRT(('Начальные условия и парам.'!$B$15+'Начальные условия и парам.'!$H$15)^2+('Начальные условия и парам.'!$K$15/2)^2)*SIN(RADIANS(J124-'Начальные условия и парам.'!$E$19))</f>
        <v>-2.2422027933542905</v>
      </c>
      <c r="T124" s="30">
        <f t="shared" si="8"/>
        <v>1.2399991749999999</v>
      </c>
      <c r="U124" s="30">
        <f>B124+SQRT(('Начальные условия и парам.'!$E$15)^2+('Начальные условия и парам.'!$K$15/2)^2)*COS(RADIANS(J124+PI()+'Начальные условия и парам.'!$H$19))</f>
        <v>21.621512530128076</v>
      </c>
      <c r="V124" s="30">
        <f>C124+SQRT(('Начальные условия и парам.'!$E$15)^2+('Начальные условия и парам.'!$K$15/2)^2)*SIN(RADIANS(J124+PI()+'Начальные условия и парам.'!$H$19))</f>
        <v>0.83661243267431096</v>
      </c>
      <c r="X124" s="30">
        <f t="shared" si="9"/>
        <v>1.2399991749999999</v>
      </c>
      <c r="Y124" s="30">
        <f>B124+SQRT(('Начальные условия и парам.'!$E$15)^2+('Начальные условия и парам.'!$K$15/2)^2)*COS(RADIANS(J124+PI()-'Начальные условия и парам.'!$H$19))</f>
        <v>21.041497452979335</v>
      </c>
      <c r="Z124" s="30">
        <f>C124+SQRT(('Начальные условия и парам.'!$E$15)^2+('Начальные условия и парам.'!$K$15/2)^2)*SIN(RADIANS(J124+PI()-'Начальные условия и парам.'!$H$19))</f>
        <v>-1.0774362893492793</v>
      </c>
    </row>
    <row r="125" spans="1:26" x14ac:dyDescent="0.25">
      <c r="A125" s="30">
        <f>'аксел-ры 1 и 2 и интегр-ие  '!M128</f>
        <v>1.2499990459999999</v>
      </c>
      <c r="B125" s="30">
        <f>'аксел-ры 1 и 2 и интегр-ие  '!P128</f>
        <v>18.594741375652202</v>
      </c>
      <c r="C125" s="30">
        <f>'аксел-ры 1 и 2 и интегр-ие  '!Y128</f>
        <v>0.76336397678947776</v>
      </c>
      <c r="D125" s="12"/>
      <c r="E125" s="30">
        <f>'аксел-ры 1 и 2 и интегр-ие  '!Q128</f>
        <v>1.2499990459999999</v>
      </c>
      <c r="F125" s="30">
        <f>'аксел-ры 1 и 2 и интегр-ие  '!T128</f>
        <v>20.474126617224016</v>
      </c>
      <c r="G125" s="30">
        <f>'аксел-ры 1 и 2 и интегр-ие  '!AC128</f>
        <v>7.932369013814089E-2</v>
      </c>
      <c r="H125" s="12"/>
      <c r="I125" s="30">
        <f t="shared" si="5"/>
        <v>1.2499990459999999</v>
      </c>
      <c r="J125" s="30">
        <f>DEGREES(ASIN((G125-C125)/'Начальные условия и парам.'!$B$15))</f>
        <v>-19.999999999999982</v>
      </c>
      <c r="L125" s="30">
        <f t="shared" si="6"/>
        <v>1.2499990459999999</v>
      </c>
      <c r="M125" s="30">
        <f>B125+SQRT(('Начальные условия и парам.'!$B$15+'Начальные условия и парам.'!$H$15)^2+('Начальные условия и парам.'!$K$15/2)^2)*COS(RADIANS(J125+'Начальные условия и парам.'!$E$19))</f>
        <v>24.574917243693321</v>
      </c>
      <c r="N125" s="30">
        <f>C125+SQRT(('Начальные условия и парам.'!$B$15+'Начальные условия и парам.'!$H$15)^2+('Начальные условия и парам.'!$K$15/2)^2)*SIN(RADIANS(J125+'Начальные условия и парам.'!$E$19))</f>
        <v>-0.34906426237862442</v>
      </c>
      <c r="P125" s="30">
        <f t="shared" si="7"/>
        <v>1.2499990459999999</v>
      </c>
      <c r="Q125" s="30">
        <f>B125+SQRT(('Начальные условия и парам.'!$B$15+'Начальные условия и парам.'!$H$15)^2+('Начальные условия и парам.'!$K$15/2)^2)*COS(RADIANS(J125-'Начальные условия и парам.'!$E$19))</f>
        <v>23.890876957041982</v>
      </c>
      <c r="R125" s="30">
        <f>C125+SQRT(('Начальные условия и парам.'!$B$15+'Начальные условия и парам.'!$H$15)^2+('Начальные условия и парам.'!$K$15/2)^2)*SIN(RADIANS(J125-'Начальные условия и парам.'!$E$19))</f>
        <v>-2.2284495039504408</v>
      </c>
      <c r="T125" s="30">
        <f t="shared" si="8"/>
        <v>1.2499990459999999</v>
      </c>
      <c r="U125" s="30">
        <f>B125+SQRT(('Начальные условия и парам.'!$E$15)^2+('Начальные условия и парам.'!$K$15/2)^2)*COS(RADIANS(J125+PI()+'Начальные условия и парам.'!$H$19))</f>
        <v>21.755821997261958</v>
      </c>
      <c r="V125" s="30">
        <f>C125+SQRT(('Начальные условия и парам.'!$E$15)^2+('Начальные условия и парам.'!$K$15/2)^2)*SIN(RADIANS(J125+PI()+'Начальные условия и парам.'!$H$19))</f>
        <v>0.85036572207816064</v>
      </c>
      <c r="X125" s="30">
        <f t="shared" si="9"/>
        <v>1.2499990459999999</v>
      </c>
      <c r="Y125" s="30">
        <f>B125+SQRT(('Начальные условия и парам.'!$E$15)^2+('Начальные условия и парам.'!$K$15/2)^2)*COS(RADIANS(J125+PI()-'Начальные условия и парам.'!$H$19))</f>
        <v>21.175806920113217</v>
      </c>
      <c r="Z125" s="30">
        <f>C125+SQRT(('Начальные условия и парам.'!$E$15)^2+('Начальные условия и парам.'!$K$15/2)^2)*SIN(RADIANS(J125+PI()-'Начальные условия и парам.'!$H$19))</f>
        <v>-1.0636829999454296</v>
      </c>
    </row>
    <row r="126" spans="1:26" x14ac:dyDescent="0.25">
      <c r="A126" s="30">
        <f>'аксел-ры 1 и 2 и интегр-ие  '!M129</f>
        <v>1.259998918</v>
      </c>
      <c r="B126" s="30">
        <f>'аксел-ры 1 и 2 и интегр-ие  '!P129</f>
        <v>18.729223426851959</v>
      </c>
      <c r="C126" s="30">
        <f>'аксел-ры 1 и 2 и интегр-ие  '!Y129</f>
        <v>0.77617067660030159</v>
      </c>
      <c r="D126" s="12"/>
      <c r="E126" s="30">
        <f>'аксел-ры 1 и 2 и интегр-ие  '!Q129</f>
        <v>1.259998918</v>
      </c>
      <c r="F126" s="30">
        <f>'аксел-ры 1 и 2 и интегр-ие  '!T129</f>
        <v>20.608608668423777</v>
      </c>
      <c r="G126" s="30">
        <f>'аксел-ры 1 и 2 и интегр-ие  '!AC129</f>
        <v>9.2130389948964719E-2</v>
      </c>
      <c r="H126" s="12"/>
      <c r="I126" s="30">
        <f t="shared" si="5"/>
        <v>1.259998918</v>
      </c>
      <c r="J126" s="30">
        <f>DEGREES(ASIN((G126-C126)/'Начальные условия и парам.'!$B$15))</f>
        <v>-19.999999999999982</v>
      </c>
      <c r="L126" s="30">
        <f t="shared" si="6"/>
        <v>1.259998918</v>
      </c>
      <c r="M126" s="30">
        <f>B126+SQRT(('Начальные условия и парам.'!$B$15+'Начальные условия и парам.'!$H$15)^2+('Начальные условия и парам.'!$K$15/2)^2)*COS(RADIANS(J126+'Начальные условия и парам.'!$E$19))</f>
        <v>24.709399294893078</v>
      </c>
      <c r="N126" s="30">
        <f>C126+SQRT(('Начальные условия и парам.'!$B$15+'Начальные условия и парам.'!$H$15)^2+('Начальные условия и парам.'!$K$15/2)^2)*SIN(RADIANS(J126+'Начальные условия и парам.'!$E$19))</f>
        <v>-0.33625756256780059</v>
      </c>
      <c r="P126" s="30">
        <f t="shared" si="7"/>
        <v>1.259998918</v>
      </c>
      <c r="Q126" s="30">
        <f>B126+SQRT(('Начальные условия и парам.'!$B$15+'Начальные условия и парам.'!$H$15)^2+('Начальные условия и парам.'!$K$15/2)^2)*COS(RADIANS(J126-'Начальные условия и парам.'!$E$19))</f>
        <v>24.025359008241743</v>
      </c>
      <c r="R126" s="30">
        <f>C126+SQRT(('Начальные условия и парам.'!$B$15+'Начальные условия и парам.'!$H$15)^2+('Начальные условия и парам.'!$K$15/2)^2)*SIN(RADIANS(J126-'Начальные условия и парам.'!$E$19))</f>
        <v>-2.215642804139617</v>
      </c>
      <c r="T126" s="30">
        <f t="shared" si="8"/>
        <v>1.259998918</v>
      </c>
      <c r="U126" s="30">
        <f>B126+SQRT(('Начальные условия и парам.'!$E$15)^2+('Начальные условия и парам.'!$K$15/2)^2)*COS(RADIANS(J126+PI()+'Начальные условия и парам.'!$H$19))</f>
        <v>21.890304048461715</v>
      </c>
      <c r="V126" s="30">
        <f>C126+SQRT(('Начальные условия и парам.'!$E$15)^2+('Начальные условия и парам.'!$K$15/2)^2)*SIN(RADIANS(J126+PI()+'Начальные условия и парам.'!$H$19))</f>
        <v>0.86317242188898446</v>
      </c>
      <c r="X126" s="30">
        <f t="shared" si="9"/>
        <v>1.259998918</v>
      </c>
      <c r="Y126" s="30">
        <f>B126+SQRT(('Начальные условия и парам.'!$E$15)^2+('Начальные условия и парам.'!$K$15/2)^2)*COS(RADIANS(J126+PI()-'Начальные условия и парам.'!$H$19))</f>
        <v>21.310288971312975</v>
      </c>
      <c r="Z126" s="30">
        <f>C126+SQRT(('Начальные условия и парам.'!$E$15)^2+('Начальные условия и парам.'!$K$15/2)^2)*SIN(RADIANS(J126+PI()-'Начальные условия и парам.'!$H$19))</f>
        <v>-1.0508763001346058</v>
      </c>
    </row>
    <row r="127" spans="1:26" x14ac:dyDescent="0.25">
      <c r="A127" s="30">
        <f>'аксел-ры 1 и 2 и интегр-ие  '!M130</f>
        <v>1.269998789</v>
      </c>
      <c r="B127" s="30">
        <f>'аксел-ры 1 и 2 и интегр-ие  '!P130</f>
        <v>18.863573415540394</v>
      </c>
      <c r="C127" s="30">
        <f>'аксел-ры 1 и 2 и интегр-ие  '!Y130</f>
        <v>0.78887651126770209</v>
      </c>
      <c r="D127" s="12"/>
      <c r="E127" s="30">
        <f>'аксел-ры 1 и 2 и интегр-ие  '!Q130</f>
        <v>1.269998789</v>
      </c>
      <c r="F127" s="30">
        <f>'аксел-ры 1 и 2 и интегр-ие  '!T130</f>
        <v>20.742958657112212</v>
      </c>
      <c r="G127" s="30">
        <f>'аксел-ры 1 и 2 и интегр-ие  '!AC130</f>
        <v>0.10483622461636344</v>
      </c>
      <c r="H127" s="12"/>
      <c r="I127" s="30">
        <f t="shared" si="5"/>
        <v>1.269998789</v>
      </c>
      <c r="J127" s="30">
        <f>DEGREES(ASIN((G127-C127)/'Начальные условия и парам.'!$B$15))</f>
        <v>-20.000000000000039</v>
      </c>
      <c r="L127" s="30">
        <f t="shared" si="6"/>
        <v>1.269998789</v>
      </c>
      <c r="M127" s="30">
        <f>B127+SQRT(('Начальные условия и парам.'!$B$15+'Начальные условия и парам.'!$H$15)^2+('Начальные условия и парам.'!$K$15/2)^2)*COS(RADIANS(J127+'Начальные условия и парам.'!$E$19))</f>
        <v>24.843749283581513</v>
      </c>
      <c r="N127" s="30">
        <f>C127+SQRT(('Начальные условия и парам.'!$B$15+'Начальные условия и парам.'!$H$15)^2+('Начальные условия и парам.'!$K$15/2)^2)*SIN(RADIANS(J127+'Начальные условия и парам.'!$E$19))</f>
        <v>-0.32355172790040587</v>
      </c>
      <c r="P127" s="30">
        <f t="shared" si="7"/>
        <v>1.269998789</v>
      </c>
      <c r="Q127" s="30">
        <f>B127+SQRT(('Начальные условия и парам.'!$B$15+'Начальные условия и парам.'!$H$15)^2+('Начальные условия и парам.'!$K$15/2)^2)*COS(RADIANS(J127-'Начальные условия и парам.'!$E$19))</f>
        <v>24.159708996930174</v>
      </c>
      <c r="R127" s="30">
        <f>C127+SQRT(('Начальные условия и парам.'!$B$15+'Начальные условия и парам.'!$H$15)^2+('Начальные условия и парам.'!$K$15/2)^2)*SIN(RADIANS(J127-'Начальные условия и парам.'!$E$19))</f>
        <v>-2.2029369694722218</v>
      </c>
      <c r="T127" s="30">
        <f t="shared" si="8"/>
        <v>1.269998789</v>
      </c>
      <c r="U127" s="30">
        <f>B127+SQRT(('Начальные условия и парам.'!$E$15)^2+('Начальные условия и парам.'!$K$15/2)^2)*COS(RADIANS(J127+PI()+'Начальные условия и парам.'!$H$19))</f>
        <v>22.02465403715015</v>
      </c>
      <c r="V127" s="30">
        <f>C127+SQRT(('Начальные условия и парам.'!$E$15)^2+('Начальные условия и парам.'!$K$15/2)^2)*SIN(RADIANS(J127+PI()+'Начальные условия и парам.'!$H$19))</f>
        <v>0.87587825655638185</v>
      </c>
      <c r="X127" s="30">
        <f t="shared" si="9"/>
        <v>1.269998789</v>
      </c>
      <c r="Y127" s="30">
        <f>B127+SQRT(('Начальные условия и парам.'!$E$15)^2+('Начальные условия и парам.'!$K$15/2)^2)*COS(RADIANS(J127+PI()-'Начальные условия и парам.'!$H$19))</f>
        <v>21.444638960001406</v>
      </c>
      <c r="Z127" s="30">
        <f>C127+SQRT(('Начальные условия и парам.'!$E$15)^2+('Начальные условия и парам.'!$K$15/2)^2)*SIN(RADIANS(J127+PI()-'Начальные условия и парам.'!$H$19))</f>
        <v>-1.0381704654672079</v>
      </c>
    </row>
    <row r="128" spans="1:26" x14ac:dyDescent="0.25">
      <c r="A128" s="30">
        <f>'аксел-ры 1 и 2 и интегр-ие  '!M131</f>
        <v>1.2799991369999999</v>
      </c>
      <c r="B128" s="30">
        <f>'аксел-ры 1 и 2 и интегр-ие  '!P131</f>
        <v>18.997630007580518</v>
      </c>
      <c r="C128" s="30">
        <f>'аксел-ры 1 и 2 и интегр-ие  '!Y131</f>
        <v>0.80248951678037805</v>
      </c>
      <c r="D128" s="12"/>
      <c r="E128" s="30">
        <f>'аксел-ры 1 и 2 и интегр-ие  '!Q131</f>
        <v>1.2799991369999999</v>
      </c>
      <c r="F128" s="30">
        <f>'аксел-ры 1 и 2 и интегр-ие  '!T131</f>
        <v>20.877015249152336</v>
      </c>
      <c r="G128" s="30">
        <f>'аксел-ры 1 и 2 и интегр-ие  '!AC131</f>
        <v>0.11844923012903941</v>
      </c>
      <c r="H128" s="12"/>
      <c r="I128" s="30">
        <f t="shared" si="5"/>
        <v>1.2799991369999999</v>
      </c>
      <c r="J128" s="30">
        <f>DEGREES(ASIN((G128-C128)/'Начальные условия и парам.'!$B$15))</f>
        <v>-20.000000000000039</v>
      </c>
      <c r="L128" s="30">
        <f t="shared" si="6"/>
        <v>1.2799991369999999</v>
      </c>
      <c r="M128" s="30">
        <f>B128+SQRT(('Начальные условия и парам.'!$B$15+'Начальные условия и парам.'!$H$15)^2+('Начальные условия и парам.'!$K$15/2)^2)*COS(RADIANS(J128+'Начальные условия и парам.'!$E$19))</f>
        <v>24.977805875621637</v>
      </c>
      <c r="N128" s="30">
        <f>C128+SQRT(('Начальные условия и парам.'!$B$15+'Начальные условия и парам.'!$H$15)^2+('Начальные условия и парам.'!$K$15/2)^2)*SIN(RADIANS(J128+'Начальные условия и парам.'!$E$19))</f>
        <v>-0.3099387223877299</v>
      </c>
      <c r="P128" s="30">
        <f t="shared" si="7"/>
        <v>1.2799991369999999</v>
      </c>
      <c r="Q128" s="30">
        <f>B128+SQRT(('Начальные условия и парам.'!$B$15+'Начальные условия и парам.'!$H$15)^2+('Начальные условия и парам.'!$K$15/2)^2)*COS(RADIANS(J128-'Начальные условия и парам.'!$E$19))</f>
        <v>24.293765588970299</v>
      </c>
      <c r="R128" s="30">
        <f>C128+SQRT(('Начальные условия и парам.'!$B$15+'Начальные условия и парам.'!$H$15)^2+('Начальные условия и парам.'!$K$15/2)^2)*SIN(RADIANS(J128-'Начальные условия и парам.'!$E$19))</f>
        <v>-2.1893239639595459</v>
      </c>
      <c r="T128" s="30">
        <f t="shared" si="8"/>
        <v>1.2799991369999999</v>
      </c>
      <c r="U128" s="30">
        <f>B128+SQRT(('Начальные условия и парам.'!$E$15)^2+('Начальные условия и парам.'!$K$15/2)^2)*COS(RADIANS(J128+PI()+'Начальные условия и парам.'!$H$19))</f>
        <v>22.158710629190274</v>
      </c>
      <c r="V128" s="30">
        <f>C128+SQRT(('Начальные условия и парам.'!$E$15)^2+('Начальные условия и парам.'!$K$15/2)^2)*SIN(RADIANS(J128+PI()+'Начальные условия и парам.'!$H$19))</f>
        <v>0.88949126206905782</v>
      </c>
      <c r="X128" s="30">
        <f t="shared" si="9"/>
        <v>1.2799991369999999</v>
      </c>
      <c r="Y128" s="30">
        <f>B128+SQRT(('Начальные условия и парам.'!$E$15)^2+('Начальные условия и парам.'!$K$15/2)^2)*COS(RADIANS(J128+PI()-'Начальные условия и парам.'!$H$19))</f>
        <v>21.57869555204153</v>
      </c>
      <c r="Z128" s="30">
        <f>C128+SQRT(('Начальные условия и парам.'!$E$15)^2+('Начальные условия и парам.'!$K$15/2)^2)*SIN(RADIANS(J128+PI()-'Начальные условия и парам.'!$H$19))</f>
        <v>-1.024557459954532</v>
      </c>
    </row>
    <row r="129" spans="1:26" x14ac:dyDescent="0.25">
      <c r="A129" s="30">
        <f>'аксел-ры 1 и 2 и интегр-ие  '!M132</f>
        <v>1.2899990079999999</v>
      </c>
      <c r="B129" s="30">
        <f>'аксел-ры 1 и 2 и интегр-ие  '!P132</f>
        <v>19.131318590525503</v>
      </c>
      <c r="C129" s="30">
        <f>'аксел-ры 1 и 2 и интегр-ие  '!Y132</f>
        <v>0.81757405782037651</v>
      </c>
      <c r="D129" s="12"/>
      <c r="E129" s="30">
        <f>'аксел-ры 1 и 2 и интегр-ие  '!Q132</f>
        <v>1.2899990079999999</v>
      </c>
      <c r="F129" s="30">
        <f>'аксел-ры 1 и 2 и интегр-ие  '!T132</f>
        <v>21.01070383209732</v>
      </c>
      <c r="G129" s="30">
        <f>'аксел-ры 1 и 2 и интегр-ие  '!AC132</f>
        <v>0.13353377116903964</v>
      </c>
      <c r="H129" s="12"/>
      <c r="I129" s="30">
        <f t="shared" si="5"/>
        <v>1.2899990079999999</v>
      </c>
      <c r="J129" s="30">
        <f>DEGREES(ASIN((G129-C129)/'Начальные условия и парам.'!$B$15))</f>
        <v>-19.999999999999982</v>
      </c>
      <c r="L129" s="30">
        <f t="shared" si="6"/>
        <v>1.2899990079999999</v>
      </c>
      <c r="M129" s="30">
        <f>B129+SQRT(('Начальные условия и парам.'!$B$15+'Начальные условия и парам.'!$H$15)^2+('Начальные условия и парам.'!$K$15/2)^2)*COS(RADIANS(J129+'Начальные условия и парам.'!$E$19))</f>
        <v>25.111494458566622</v>
      </c>
      <c r="N129" s="30">
        <f>C129+SQRT(('Начальные условия и парам.'!$B$15+'Начальные условия и парам.'!$H$15)^2+('Начальные условия и парам.'!$K$15/2)^2)*SIN(RADIANS(J129+'Начальные условия и парам.'!$E$19))</f>
        <v>-0.29485418134772567</v>
      </c>
      <c r="P129" s="30">
        <f t="shared" si="7"/>
        <v>1.2899990079999999</v>
      </c>
      <c r="Q129" s="30">
        <f>B129+SQRT(('Начальные условия и парам.'!$B$15+'Начальные условия и парам.'!$H$15)^2+('Начальные условия и парам.'!$K$15/2)^2)*COS(RADIANS(J129-'Начальные условия и парам.'!$E$19))</f>
        <v>24.427454171915286</v>
      </c>
      <c r="R129" s="30">
        <f>C129+SQRT(('Начальные условия и парам.'!$B$15+'Начальные условия и парам.'!$H$15)^2+('Начальные условия и парам.'!$K$15/2)^2)*SIN(RADIANS(J129-'Начальные условия и парам.'!$E$19))</f>
        <v>-2.1742394229195421</v>
      </c>
      <c r="T129" s="30">
        <f t="shared" si="8"/>
        <v>1.2899990079999999</v>
      </c>
      <c r="U129" s="30">
        <f>B129+SQRT(('Начальные условия и парам.'!$E$15)^2+('Начальные условия и парам.'!$K$15/2)^2)*COS(RADIANS(J129+PI()+'Начальные условия и парам.'!$H$19))</f>
        <v>22.292399212135258</v>
      </c>
      <c r="V129" s="30">
        <f>C129+SQRT(('Начальные условия и парам.'!$E$15)^2+('Начальные условия и парам.'!$K$15/2)^2)*SIN(RADIANS(J129+PI()+'Начальные условия и парам.'!$H$19))</f>
        <v>0.90457580310905938</v>
      </c>
      <c r="X129" s="30">
        <f t="shared" si="9"/>
        <v>1.2899990079999999</v>
      </c>
      <c r="Y129" s="30">
        <f>B129+SQRT(('Начальные условия и парам.'!$E$15)^2+('Начальные условия и парам.'!$K$15/2)^2)*COS(RADIANS(J129+PI()-'Начальные условия и парам.'!$H$19))</f>
        <v>21.712384134986518</v>
      </c>
      <c r="Z129" s="30">
        <f>C129+SQRT(('Начальные условия и парам.'!$E$15)^2+('Начальные условия и парам.'!$K$15/2)^2)*SIN(RADIANS(J129+PI()-'Начальные условия и парам.'!$H$19))</f>
        <v>-1.0094729189145308</v>
      </c>
    </row>
    <row r="130" spans="1:26" x14ac:dyDescent="0.25">
      <c r="A130" s="30">
        <f>'аксел-ры 1 и 2 и интегр-ие  '!M133</f>
        <v>1.2999988790000001</v>
      </c>
      <c r="B130" s="30">
        <f>'аксел-ры 1 и 2 и интегр-ие  '!P133</f>
        <v>19.264630456337894</v>
      </c>
      <c r="C130" s="30">
        <f>'аксел-ры 1 и 2 и интегр-ие  '!Y133</f>
        <v>0.8339605225178488</v>
      </c>
      <c r="D130" s="12"/>
      <c r="E130" s="30">
        <f>'аксел-ры 1 и 2 и интегр-ие  '!Q133</f>
        <v>1.2999988790000001</v>
      </c>
      <c r="F130" s="30">
        <f>'аксел-ры 1 и 2 и интегр-ие  '!T133</f>
        <v>21.144015697909712</v>
      </c>
      <c r="G130" s="30">
        <f>'аксел-ры 1 и 2 и интегр-ие  '!AC133</f>
        <v>0.14992023586651193</v>
      </c>
      <c r="H130" s="12"/>
      <c r="I130" s="30">
        <f t="shared" si="5"/>
        <v>1.2999988790000001</v>
      </c>
      <c r="J130" s="30">
        <f>DEGREES(ASIN((G130-C130)/'Начальные условия и парам.'!$B$15))</f>
        <v>-19.999999999999982</v>
      </c>
      <c r="L130" s="30">
        <f t="shared" si="6"/>
        <v>1.2999988790000001</v>
      </c>
      <c r="M130" s="30">
        <f>B130+SQRT(('Начальные условия и парам.'!$B$15+'Начальные условия и парам.'!$H$15)^2+('Начальные условия и парам.'!$K$15/2)^2)*COS(RADIANS(J130+'Начальные условия и парам.'!$E$19))</f>
        <v>25.244806324379013</v>
      </c>
      <c r="N130" s="30">
        <f>C130+SQRT(('Начальные условия и парам.'!$B$15+'Начальные условия и парам.'!$H$15)^2+('Начальные условия и парам.'!$K$15/2)^2)*SIN(RADIANS(J130+'Начальные условия и парам.'!$E$19))</f>
        <v>-0.27846771665025338</v>
      </c>
      <c r="P130" s="30">
        <f t="shared" si="7"/>
        <v>1.2999988790000001</v>
      </c>
      <c r="Q130" s="30">
        <f>B130+SQRT(('Начальные условия и парам.'!$B$15+'Начальные условия и парам.'!$H$15)^2+('Начальные условия и парам.'!$K$15/2)^2)*COS(RADIANS(J130-'Начальные условия и парам.'!$E$19))</f>
        <v>24.560766037727674</v>
      </c>
      <c r="R130" s="30">
        <f>C130+SQRT(('Начальные условия и парам.'!$B$15+'Начальные условия и парам.'!$H$15)^2+('Начальные условия и парам.'!$K$15/2)^2)*SIN(RADIANS(J130-'Начальные условия и парам.'!$E$19))</f>
        <v>-2.1578529582220698</v>
      </c>
      <c r="T130" s="30">
        <f t="shared" si="8"/>
        <v>1.2999988790000001</v>
      </c>
      <c r="U130" s="30">
        <f>B130+SQRT(('Начальные условия и парам.'!$E$15)^2+('Начальные условия и парам.'!$K$15/2)^2)*COS(RADIANS(J130+PI()+'Начальные условия и парам.'!$H$19))</f>
        <v>22.42571107794765</v>
      </c>
      <c r="V130" s="30">
        <f>C130+SQRT(('Начальные условия и парам.'!$E$15)^2+('Начальные условия и парам.'!$K$15/2)^2)*SIN(RADIANS(J130+PI()+'Начальные условия и парам.'!$H$19))</f>
        <v>0.92096226780653168</v>
      </c>
      <c r="X130" s="30">
        <f t="shared" si="9"/>
        <v>1.2999988790000001</v>
      </c>
      <c r="Y130" s="30">
        <f>B130+SQRT(('Начальные условия и парам.'!$E$15)^2+('Начальные условия и парам.'!$K$15/2)^2)*COS(RADIANS(J130+PI()-'Начальные условия и парам.'!$H$19))</f>
        <v>21.84569600079891</v>
      </c>
      <c r="Z130" s="30">
        <f>C130+SQRT(('Начальные условия и парам.'!$E$15)^2+('Начальные условия и парам.'!$K$15/2)^2)*SIN(RADIANS(J130+PI()-'Начальные условия и парам.'!$H$19))</f>
        <v>-0.99308645421705855</v>
      </c>
    </row>
    <row r="131" spans="1:26" x14ac:dyDescent="0.25">
      <c r="A131" s="30">
        <f>'аксел-ры 1 и 2 и интегр-ие  '!M134</f>
        <v>1.309998751</v>
      </c>
      <c r="B131" s="30">
        <f>'аксел-ры 1 и 2 и интегр-ие  '!P134</f>
        <v>19.397709172149348</v>
      </c>
      <c r="C131" s="30">
        <f>'аксел-ры 1 и 2 и интегр-ие  '!Y134</f>
        <v>0.85111219731729904</v>
      </c>
      <c r="D131" s="12"/>
      <c r="E131" s="30">
        <f>'аксел-ры 1 и 2 и интегр-ие  '!Q134</f>
        <v>1.309998751</v>
      </c>
      <c r="F131" s="30">
        <f>'аксел-ры 1 и 2 и интегр-ие  '!T134</f>
        <v>21.277094413721166</v>
      </c>
      <c r="G131" s="30">
        <f>'аксел-ры 1 и 2 и интегр-ие  '!AC134</f>
        <v>0.16707191066596216</v>
      </c>
      <c r="H131" s="12"/>
      <c r="I131" s="30">
        <f t="shared" si="5"/>
        <v>1.309998751</v>
      </c>
      <c r="J131" s="30">
        <f>DEGREES(ASIN((G131-C131)/'Начальные условия и парам.'!$B$15))</f>
        <v>-19.999999999999982</v>
      </c>
      <c r="L131" s="30">
        <f t="shared" si="6"/>
        <v>1.309998751</v>
      </c>
      <c r="M131" s="30">
        <f>B131+SQRT(('Начальные условия и парам.'!$B$15+'Начальные условия и парам.'!$H$15)^2+('Начальные условия и парам.'!$K$15/2)^2)*COS(RADIANS(J131+'Начальные условия и парам.'!$E$19))</f>
        <v>25.377885040190467</v>
      </c>
      <c r="N131" s="30">
        <f>C131+SQRT(('Начальные условия и парам.'!$B$15+'Начальные условия и парам.'!$H$15)^2+('Начальные условия и парам.'!$K$15/2)^2)*SIN(RADIANS(J131+'Начальные условия и парам.'!$E$19))</f>
        <v>-0.26131604185080315</v>
      </c>
      <c r="P131" s="30">
        <f t="shared" si="7"/>
        <v>1.309998751</v>
      </c>
      <c r="Q131" s="30">
        <f>B131+SQRT(('Начальные условия и парам.'!$B$15+'Начальные условия и парам.'!$H$15)^2+('Начальные условия и парам.'!$K$15/2)^2)*COS(RADIANS(J131-'Начальные условия и парам.'!$E$19))</f>
        <v>24.693844753539132</v>
      </c>
      <c r="R131" s="30">
        <f>C131+SQRT(('Начальные условия и парам.'!$B$15+'Начальные условия и парам.'!$H$15)^2+('Начальные условия и парам.'!$K$15/2)^2)*SIN(RADIANS(J131-'Начальные условия и парам.'!$E$19))</f>
        <v>-2.1407012834226196</v>
      </c>
      <c r="T131" s="30">
        <f t="shared" si="8"/>
        <v>1.309998751</v>
      </c>
      <c r="U131" s="30">
        <f>B131+SQRT(('Начальные условия и парам.'!$E$15)^2+('Начальные условия и парам.'!$K$15/2)^2)*COS(RADIANS(J131+PI()+'Начальные условия и парам.'!$H$19))</f>
        <v>22.558789793759104</v>
      </c>
      <c r="V131" s="30">
        <f>C131+SQRT(('Начальные условия и парам.'!$E$15)^2+('Начальные условия и парам.'!$K$15/2)^2)*SIN(RADIANS(J131+PI()+'Начальные условия и парам.'!$H$19))</f>
        <v>0.93811394260598191</v>
      </c>
      <c r="X131" s="30">
        <f t="shared" si="9"/>
        <v>1.309998751</v>
      </c>
      <c r="Y131" s="30">
        <f>B131+SQRT(('Начальные условия и парам.'!$E$15)^2+('Начальные условия и парам.'!$K$15/2)^2)*COS(RADIANS(J131+PI()-'Начальные условия и парам.'!$H$19))</f>
        <v>21.978774716610364</v>
      </c>
      <c r="Z131" s="30">
        <f>C131+SQRT(('Начальные условия и парам.'!$E$15)^2+('Начальные условия и парам.'!$K$15/2)^2)*SIN(RADIANS(J131+PI()-'Начальные условия и парам.'!$H$19))</f>
        <v>-0.97593477941760831</v>
      </c>
    </row>
    <row r="132" spans="1:26" x14ac:dyDescent="0.25">
      <c r="A132" s="30">
        <f>'аксел-ры 1 и 2 и интегр-ие  '!M135</f>
        <v>1.3199990989999999</v>
      </c>
      <c r="B132" s="30">
        <f>'аксел-ры 1 и 2 и интегр-ие  '!P135</f>
        <v>19.530958326649696</v>
      </c>
      <c r="C132" s="30">
        <f>'аксел-ры 1 и 2 и интегр-ие  '!Y135</f>
        <v>0.86854128325360236</v>
      </c>
      <c r="D132" s="12"/>
      <c r="E132" s="30">
        <f>'аксел-ры 1 и 2 и интегр-ие  '!Q135</f>
        <v>1.3199990989999999</v>
      </c>
      <c r="F132" s="30">
        <f>'аксел-ры 1 и 2 и интегр-ие  '!T135</f>
        <v>21.410343568221514</v>
      </c>
      <c r="G132" s="30">
        <f>'аксел-ры 1 и 2 и интегр-ие  '!AC135</f>
        <v>0.18450099660226549</v>
      </c>
      <c r="H132" s="12"/>
      <c r="I132" s="30">
        <f t="shared" ref="I132" si="10">A132</f>
        <v>1.3199990989999999</v>
      </c>
      <c r="J132" s="30">
        <f>DEGREES(ASIN((G132-C132)/'Начальные условия и парам.'!$B$15))</f>
        <v>-19.999999999999982</v>
      </c>
      <c r="L132" s="30">
        <f t="shared" ref="L132" si="11">A132</f>
        <v>1.3199990989999999</v>
      </c>
      <c r="M132" s="30">
        <f>B132+SQRT(('Начальные условия и парам.'!$B$15+'Начальные условия и парам.'!$H$15)^2+('Начальные условия и парам.'!$K$15/2)^2)*COS(RADIANS(J132+'Начальные условия и парам.'!$E$19))</f>
        <v>25.511134194690815</v>
      </c>
      <c r="N132" s="30">
        <f>C132+SQRT(('Начальные условия и парам.'!$B$15+'Начальные условия и парам.'!$H$15)^2+('Начальные условия и парам.'!$K$15/2)^2)*SIN(RADIANS(J132+'Начальные условия и парам.'!$E$19))</f>
        <v>-0.24388695591449983</v>
      </c>
      <c r="P132" s="30">
        <f t="shared" ref="P132" si="12">A132</f>
        <v>1.3199990989999999</v>
      </c>
      <c r="Q132" s="30">
        <f>B132+SQRT(('Начальные условия и парам.'!$B$15+'Начальные условия и парам.'!$H$15)^2+('Начальные условия и парам.'!$K$15/2)^2)*COS(RADIANS(J132-'Начальные условия и парам.'!$E$19))</f>
        <v>24.82709390803948</v>
      </c>
      <c r="R132" s="30">
        <f>C132+SQRT(('Начальные условия и парам.'!$B$15+'Начальные условия и парам.'!$H$15)^2+('Начальные условия и парам.'!$K$15/2)^2)*SIN(RADIANS(J132-'Начальные условия и парам.'!$E$19))</f>
        <v>-2.1232721974863162</v>
      </c>
      <c r="T132" s="30">
        <f t="shared" ref="T132" si="13">A132</f>
        <v>1.3199990989999999</v>
      </c>
      <c r="U132" s="30">
        <f>B132+SQRT(('Начальные условия и парам.'!$E$15)^2+('Начальные условия и парам.'!$K$15/2)^2)*COS(RADIANS(J132+PI()+'Начальные условия и парам.'!$H$19))</f>
        <v>22.692038948259452</v>
      </c>
      <c r="V132" s="30">
        <f>C132+SQRT(('Начальные условия и парам.'!$E$15)^2+('Начальные условия и парам.'!$K$15/2)^2)*SIN(RADIANS(J132+PI()+'Начальные условия и парам.'!$H$19))</f>
        <v>0.95554302854228523</v>
      </c>
      <c r="X132" s="30">
        <f t="shared" ref="X132" si="14">A132</f>
        <v>1.3199990989999999</v>
      </c>
      <c r="Y132" s="30">
        <f>B132+SQRT(('Начальные условия и парам.'!$E$15)^2+('Начальные условия и парам.'!$K$15/2)^2)*COS(RADIANS(J132+PI()-'Начальные условия и парам.'!$H$19))</f>
        <v>22.112023871110711</v>
      </c>
      <c r="Z132" s="30">
        <f>C132+SQRT(('Начальные условия и парам.'!$E$15)^2+('Начальные условия и парам.'!$K$15/2)^2)*SIN(RADIANS(J132+PI()-'Начальные условия и парам.'!$H$19))</f>
        <v>-0.95850569348130499</v>
      </c>
    </row>
    <row r="133" spans="1:26" x14ac:dyDescent="0.25">
      <c r="A133" s="12"/>
      <c r="B133" s="12"/>
      <c r="C133" s="12"/>
      <c r="D133" s="12"/>
      <c r="E133" s="30">
        <f>'аксел-ры 1 и 2 и интегр-ие  '!Q136</f>
        <v>0</v>
      </c>
      <c r="F133" s="30">
        <f>'аксел-ры 1 и 2 и интегр-ие  '!T136</f>
        <v>0</v>
      </c>
      <c r="G133" s="30">
        <f>'аксел-ры 1 и 2 и интегр-ие  '!AC136</f>
        <v>0</v>
      </c>
      <c r="H133" s="12"/>
      <c r="I133" s="12"/>
      <c r="J133" s="12"/>
      <c r="L133" s="12"/>
      <c r="M133" s="12"/>
      <c r="N133" s="12"/>
      <c r="P133" s="12"/>
      <c r="Q133" s="12"/>
      <c r="R133" s="12"/>
      <c r="T133" s="12"/>
      <c r="U133" s="12"/>
      <c r="V133" s="12"/>
      <c r="X133" s="12"/>
      <c r="Y133" s="12"/>
      <c r="Z133" s="12"/>
    </row>
    <row r="134" spans="1:26" x14ac:dyDescent="0.25">
      <c r="A134" s="12"/>
      <c r="B134" s="12"/>
      <c r="C134" s="12"/>
      <c r="D134" s="12"/>
      <c r="E134" s="30">
        <f>'аксел-ры 1 и 2 и интегр-ие  '!Q137</f>
        <v>0</v>
      </c>
      <c r="F134" s="30">
        <f>'аксел-ры 1 и 2 и интегр-ие  '!T137</f>
        <v>0</v>
      </c>
      <c r="G134" s="30">
        <f>'аксел-ры 1 и 2 и интегр-ие  '!AC137</f>
        <v>0</v>
      </c>
      <c r="H134" s="12"/>
      <c r="I134" s="12"/>
      <c r="J134" s="12"/>
      <c r="L134" s="12"/>
      <c r="M134" s="12"/>
      <c r="N134" s="12"/>
      <c r="P134" s="12"/>
      <c r="Q134" s="12"/>
      <c r="R134" s="12"/>
      <c r="T134" s="12"/>
      <c r="U134" s="12"/>
      <c r="V134" s="12"/>
      <c r="X134" s="12"/>
      <c r="Y134" s="12"/>
      <c r="Z134" s="12"/>
    </row>
    <row r="135" spans="1:26" x14ac:dyDescent="0.25">
      <c r="A135" s="12"/>
      <c r="B135" s="12"/>
      <c r="C135" s="12"/>
      <c r="D135" s="12"/>
      <c r="E135" s="30">
        <f>'аксел-ры 1 и 2 и интегр-ие  '!Q138</f>
        <v>0</v>
      </c>
      <c r="F135" s="30">
        <f>'аксел-ры 1 и 2 и интегр-ие  '!T138</f>
        <v>0</v>
      </c>
      <c r="G135" s="30">
        <f>'аксел-ры 1 и 2 и интегр-ие  '!AC138</f>
        <v>0</v>
      </c>
      <c r="H135" s="12"/>
      <c r="I135" s="12"/>
      <c r="J135" s="12"/>
      <c r="L135" s="12"/>
      <c r="M135" s="12"/>
      <c r="N135" s="12"/>
      <c r="P135" s="12"/>
      <c r="Q135" s="12"/>
      <c r="R135" s="12"/>
      <c r="T135" s="12"/>
      <c r="U135" s="12"/>
      <c r="V135" s="12"/>
      <c r="X135" s="12"/>
      <c r="Y135" s="12"/>
      <c r="Z135" s="12"/>
    </row>
    <row r="136" spans="1:26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L136" s="12"/>
      <c r="M136" s="12"/>
      <c r="N136" s="12"/>
      <c r="P136" s="12"/>
      <c r="Q136" s="12"/>
      <c r="R136" s="12"/>
      <c r="T136" s="12"/>
      <c r="U136" s="12"/>
      <c r="V136" s="12"/>
      <c r="X136" s="12"/>
      <c r="Y136" s="12"/>
      <c r="Z136" s="12"/>
    </row>
    <row r="137" spans="1:26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L137" s="12"/>
      <c r="M137" s="12"/>
      <c r="N137" s="12"/>
      <c r="P137" s="12"/>
      <c r="Q137" s="12"/>
      <c r="R137" s="12"/>
      <c r="T137" s="12"/>
      <c r="U137" s="12"/>
      <c r="V137" s="12"/>
      <c r="X137" s="12"/>
      <c r="Y137" s="12"/>
      <c r="Z137" s="12"/>
    </row>
    <row r="138" spans="1:26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L138" s="12"/>
      <c r="M138" s="12"/>
      <c r="N138" s="12"/>
      <c r="P138" s="12"/>
      <c r="Q138" s="12"/>
      <c r="R138" s="12"/>
      <c r="T138" s="12"/>
      <c r="U138" s="12"/>
      <c r="V138" s="12"/>
      <c r="X138" s="12"/>
      <c r="Y138" s="12"/>
      <c r="Z138" s="12"/>
    </row>
    <row r="139" spans="1:26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L139" s="12"/>
      <c r="M139" s="12"/>
      <c r="N139" s="12"/>
      <c r="P139" s="12"/>
      <c r="Q139" s="12"/>
      <c r="R139" s="12"/>
      <c r="T139" s="12"/>
      <c r="U139" s="12"/>
      <c r="V139" s="12"/>
      <c r="X139" s="12"/>
      <c r="Y139" s="12"/>
      <c r="Z139" s="12"/>
    </row>
    <row r="140" spans="1:26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L140" s="12"/>
      <c r="M140" s="12"/>
      <c r="N140" s="12"/>
      <c r="P140" s="12"/>
      <c r="Q140" s="12"/>
      <c r="R140" s="12"/>
      <c r="T140" s="12"/>
      <c r="U140" s="12"/>
      <c r="V140" s="12"/>
      <c r="X140" s="12"/>
      <c r="Y140" s="12"/>
      <c r="Z140" s="12"/>
    </row>
    <row r="141" spans="1:26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L141" s="12"/>
      <c r="M141" s="12"/>
      <c r="N141" s="12"/>
      <c r="P141" s="12"/>
      <c r="Q141" s="12"/>
      <c r="R141" s="12"/>
      <c r="T141" s="12"/>
      <c r="U141" s="12"/>
      <c r="V141" s="12"/>
      <c r="X141" s="12"/>
      <c r="Y141" s="12"/>
      <c r="Z141" s="12"/>
    </row>
    <row r="142" spans="1:26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L142" s="12"/>
      <c r="M142" s="12"/>
      <c r="N142" s="12"/>
      <c r="P142" s="12"/>
      <c r="Q142" s="12"/>
      <c r="R142" s="12"/>
      <c r="T142" s="12"/>
      <c r="U142" s="12"/>
      <c r="V142" s="12"/>
      <c r="X142" s="12"/>
      <c r="Y142" s="12"/>
      <c r="Z142" s="12"/>
    </row>
    <row r="143" spans="1:26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L143" s="12"/>
      <c r="M143" s="12"/>
      <c r="N143" s="12"/>
      <c r="P143" s="12"/>
      <c r="Q143" s="12"/>
      <c r="R143" s="12"/>
      <c r="T143" s="12"/>
      <c r="U143" s="12"/>
      <c r="V143" s="12"/>
      <c r="X143" s="12"/>
      <c r="Y143" s="12"/>
      <c r="Z143" s="12"/>
    </row>
    <row r="144" spans="1:26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L144" s="12"/>
      <c r="M144" s="12"/>
      <c r="N144" s="12"/>
      <c r="P144" s="12"/>
      <c r="Q144" s="12"/>
      <c r="R144" s="12"/>
      <c r="T144" s="12"/>
      <c r="U144" s="12"/>
      <c r="V144" s="12"/>
      <c r="X144" s="12"/>
      <c r="Y144" s="12"/>
      <c r="Z144" s="12"/>
    </row>
    <row r="145" spans="1:26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L145" s="12"/>
      <c r="M145" s="12"/>
      <c r="N145" s="12"/>
      <c r="P145" s="12"/>
      <c r="Q145" s="12"/>
      <c r="R145" s="12"/>
      <c r="T145" s="12"/>
      <c r="U145" s="12"/>
      <c r="V145" s="12"/>
      <c r="X145" s="12"/>
      <c r="Y145" s="12"/>
      <c r="Z145" s="12"/>
    </row>
    <row r="146" spans="1:26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L146" s="12"/>
      <c r="M146" s="12"/>
      <c r="N146" s="12"/>
      <c r="P146" s="12"/>
      <c r="Q146" s="12"/>
      <c r="R146" s="12"/>
      <c r="T146" s="12"/>
      <c r="U146" s="12"/>
      <c r="V146" s="12"/>
      <c r="X146" s="12"/>
      <c r="Y146" s="12"/>
      <c r="Z146" s="12"/>
    </row>
    <row r="147" spans="1:26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L147" s="12"/>
      <c r="M147" s="12"/>
      <c r="N147" s="12"/>
      <c r="P147" s="12"/>
      <c r="Q147" s="12"/>
      <c r="R147" s="12"/>
      <c r="T147" s="12"/>
      <c r="U147" s="12"/>
      <c r="V147" s="12"/>
      <c r="X147" s="12"/>
      <c r="Y147" s="12"/>
      <c r="Z147" s="12"/>
    </row>
    <row r="148" spans="1:26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L148" s="12"/>
      <c r="M148" s="12"/>
      <c r="N148" s="12"/>
      <c r="P148" s="12"/>
      <c r="Q148" s="12"/>
      <c r="R148" s="12"/>
      <c r="T148" s="12"/>
      <c r="U148" s="12"/>
      <c r="V148" s="12"/>
      <c r="X148" s="12"/>
      <c r="Y148" s="12"/>
      <c r="Z148" s="12"/>
    </row>
    <row r="149" spans="1:26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L149" s="12"/>
      <c r="M149" s="12"/>
      <c r="N149" s="12"/>
      <c r="P149" s="12"/>
      <c r="Q149" s="12"/>
      <c r="R149" s="12"/>
      <c r="T149" s="12"/>
      <c r="U149" s="12"/>
      <c r="V149" s="12"/>
      <c r="X149" s="12"/>
      <c r="Y149" s="12"/>
      <c r="Z149" s="12"/>
    </row>
    <row r="150" spans="1:26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L150" s="12"/>
      <c r="M150" s="12"/>
      <c r="N150" s="12"/>
      <c r="P150" s="12"/>
      <c r="Q150" s="12"/>
      <c r="R150" s="12"/>
      <c r="T150" s="12"/>
      <c r="U150" s="12"/>
      <c r="V150" s="12"/>
      <c r="X150" s="12"/>
      <c r="Y150" s="12"/>
      <c r="Z150" s="12"/>
    </row>
    <row r="151" spans="1:26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L151" s="12"/>
      <c r="M151" s="12"/>
      <c r="N151" s="12"/>
      <c r="P151" s="12"/>
      <c r="Q151" s="12"/>
      <c r="R151" s="12"/>
      <c r="T151" s="12"/>
      <c r="U151" s="12"/>
      <c r="V151" s="12"/>
      <c r="X151" s="12"/>
      <c r="Y151" s="12"/>
      <c r="Z151" s="12"/>
    </row>
    <row r="152" spans="1:26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L152" s="12"/>
      <c r="M152" s="12"/>
      <c r="N152" s="12"/>
      <c r="P152" s="12"/>
      <c r="Q152" s="12"/>
      <c r="R152" s="12"/>
      <c r="T152" s="12"/>
      <c r="U152" s="12"/>
      <c r="V152" s="12"/>
      <c r="X152" s="12"/>
      <c r="Y152" s="12"/>
      <c r="Z152" s="12"/>
    </row>
    <row r="153" spans="1:26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L153" s="12"/>
      <c r="M153" s="12"/>
      <c r="N153" s="12"/>
      <c r="P153" s="12"/>
      <c r="Q153" s="12"/>
      <c r="R153" s="12"/>
      <c r="T153" s="12"/>
      <c r="U153" s="12"/>
      <c r="V153" s="12"/>
      <c r="X153" s="12"/>
      <c r="Y153" s="12"/>
      <c r="Z153" s="12"/>
    </row>
    <row r="154" spans="1:26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L154" s="12"/>
      <c r="M154" s="12"/>
      <c r="N154" s="12"/>
      <c r="P154" s="12"/>
      <c r="Q154" s="12"/>
      <c r="R154" s="12"/>
      <c r="T154" s="12"/>
      <c r="U154" s="12"/>
      <c r="V154" s="12"/>
      <c r="X154" s="12"/>
      <c r="Y154" s="12"/>
      <c r="Z154" s="12"/>
    </row>
    <row r="155" spans="1:26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L155" s="12"/>
      <c r="M155" s="12"/>
      <c r="N155" s="12"/>
      <c r="P155" s="12"/>
      <c r="Q155" s="12"/>
      <c r="R155" s="12"/>
      <c r="T155" s="12"/>
      <c r="U155" s="12"/>
      <c r="V155" s="12"/>
      <c r="X155" s="12"/>
      <c r="Y155" s="12"/>
      <c r="Z155" s="12"/>
    </row>
    <row r="156" spans="1:26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L156" s="12"/>
      <c r="M156" s="12"/>
      <c r="N156" s="12"/>
      <c r="P156" s="12"/>
      <c r="Q156" s="12"/>
      <c r="R156" s="12"/>
      <c r="T156" s="12"/>
      <c r="U156" s="12"/>
      <c r="V156" s="12"/>
      <c r="X156" s="12"/>
      <c r="Y156" s="12"/>
      <c r="Z156" s="12"/>
    </row>
    <row r="157" spans="1:26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L157" s="12"/>
      <c r="M157" s="12"/>
      <c r="N157" s="12"/>
      <c r="P157" s="12"/>
      <c r="Q157" s="12"/>
      <c r="R157" s="12"/>
      <c r="T157" s="12"/>
      <c r="U157" s="12"/>
      <c r="V157" s="12"/>
      <c r="X157" s="12"/>
      <c r="Y157" s="12"/>
      <c r="Z157" s="12"/>
    </row>
    <row r="158" spans="1:26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L158" s="12"/>
      <c r="M158" s="12"/>
      <c r="N158" s="12"/>
      <c r="P158" s="12"/>
      <c r="Q158" s="12"/>
      <c r="R158" s="12"/>
      <c r="T158" s="12"/>
      <c r="U158" s="12"/>
      <c r="V158" s="12"/>
      <c r="X158" s="12"/>
      <c r="Y158" s="12"/>
      <c r="Z158" s="12"/>
    </row>
    <row r="159" spans="1:26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L159" s="12"/>
      <c r="M159" s="12"/>
      <c r="N159" s="12"/>
      <c r="P159" s="12"/>
      <c r="Q159" s="12"/>
      <c r="R159" s="12"/>
      <c r="T159" s="12"/>
      <c r="U159" s="12"/>
      <c r="V159" s="12"/>
      <c r="X159" s="12"/>
      <c r="Y159" s="12"/>
      <c r="Z159" s="12"/>
    </row>
    <row r="160" spans="1:26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L160" s="12"/>
      <c r="M160" s="12"/>
      <c r="N160" s="12"/>
      <c r="P160" s="12"/>
      <c r="Q160" s="12"/>
      <c r="R160" s="12"/>
      <c r="T160" s="12"/>
      <c r="U160" s="12"/>
      <c r="V160" s="12"/>
      <c r="X160" s="12"/>
      <c r="Y160" s="12"/>
      <c r="Z160" s="12"/>
    </row>
    <row r="161" spans="1:26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L161" s="12"/>
      <c r="M161" s="12"/>
      <c r="N161" s="12"/>
      <c r="P161" s="12"/>
      <c r="Q161" s="12"/>
      <c r="R161" s="12"/>
      <c r="T161" s="12"/>
      <c r="U161" s="12"/>
      <c r="V161" s="12"/>
      <c r="X161" s="12"/>
      <c r="Y161" s="12"/>
      <c r="Z161" s="12"/>
    </row>
    <row r="162" spans="1:26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L162" s="12"/>
      <c r="M162" s="12"/>
      <c r="N162" s="12"/>
      <c r="P162" s="12"/>
      <c r="Q162" s="12"/>
      <c r="R162" s="12"/>
      <c r="T162" s="12"/>
      <c r="U162" s="12"/>
      <c r="V162" s="12"/>
      <c r="X162" s="12"/>
      <c r="Y162" s="12"/>
      <c r="Z162" s="12"/>
    </row>
    <row r="163" spans="1:26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L163" s="12"/>
      <c r="M163" s="12"/>
      <c r="N163" s="12"/>
      <c r="P163" s="12"/>
      <c r="Q163" s="12"/>
      <c r="R163" s="12"/>
      <c r="T163" s="12"/>
      <c r="U163" s="12"/>
      <c r="V163" s="12"/>
      <c r="X163" s="12"/>
      <c r="Y163" s="12"/>
      <c r="Z163" s="12"/>
    </row>
    <row r="164" spans="1:26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L164" s="12"/>
      <c r="M164" s="12"/>
      <c r="N164" s="12"/>
      <c r="P164" s="12"/>
      <c r="Q164" s="12"/>
      <c r="R164" s="12"/>
      <c r="T164" s="12"/>
      <c r="U164" s="12"/>
      <c r="V164" s="12"/>
      <c r="X164" s="12"/>
      <c r="Y164" s="12"/>
      <c r="Z164" s="12"/>
    </row>
    <row r="165" spans="1:26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L165" s="12"/>
      <c r="M165" s="12"/>
      <c r="N165" s="12"/>
      <c r="P165" s="12"/>
      <c r="Q165" s="12"/>
      <c r="R165" s="12"/>
      <c r="T165" s="12"/>
      <c r="U165" s="12"/>
      <c r="V165" s="12"/>
      <c r="X165" s="12"/>
      <c r="Y165" s="12"/>
      <c r="Z165" s="12"/>
    </row>
    <row r="166" spans="1:26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L166" s="12"/>
      <c r="M166" s="12"/>
      <c r="N166" s="12"/>
      <c r="P166" s="12"/>
      <c r="Q166" s="12"/>
      <c r="R166" s="12"/>
      <c r="T166" s="12"/>
      <c r="U166" s="12"/>
      <c r="V166" s="12"/>
      <c r="X166" s="12"/>
      <c r="Y166" s="12"/>
      <c r="Z166" s="12"/>
    </row>
    <row r="167" spans="1:26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L167" s="12"/>
      <c r="M167" s="12"/>
      <c r="N167" s="12"/>
      <c r="P167" s="12"/>
      <c r="Q167" s="12"/>
      <c r="R167" s="12"/>
      <c r="T167" s="12"/>
      <c r="U167" s="12"/>
      <c r="V167" s="12"/>
      <c r="X167" s="12"/>
      <c r="Y167" s="12"/>
      <c r="Z167" s="12"/>
    </row>
    <row r="168" spans="1:26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L168" s="12"/>
      <c r="M168" s="12"/>
      <c r="N168" s="12"/>
      <c r="P168" s="12"/>
      <c r="Q168" s="12"/>
      <c r="R168" s="12"/>
      <c r="T168" s="12"/>
      <c r="U168" s="12"/>
      <c r="V168" s="12"/>
      <c r="X168" s="12"/>
      <c r="Y168" s="12"/>
      <c r="Z168" s="12"/>
    </row>
    <row r="169" spans="1:26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L169" s="12"/>
      <c r="M169" s="12"/>
      <c r="N169" s="12"/>
      <c r="P169" s="12"/>
      <c r="Q169" s="12"/>
      <c r="R169" s="12"/>
      <c r="T169" s="12"/>
      <c r="U169" s="12"/>
      <c r="V169" s="12"/>
      <c r="X169" s="12"/>
      <c r="Y169" s="12"/>
      <c r="Z169" s="12"/>
    </row>
    <row r="170" spans="1:26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L170" s="12"/>
      <c r="M170" s="12"/>
      <c r="N170" s="12"/>
      <c r="P170" s="12"/>
      <c r="Q170" s="12"/>
      <c r="R170" s="12"/>
      <c r="T170" s="12"/>
      <c r="U170" s="12"/>
      <c r="V170" s="12"/>
      <c r="X170" s="12"/>
      <c r="Y170" s="12"/>
      <c r="Z170" s="12"/>
    </row>
    <row r="171" spans="1:26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L171" s="12"/>
      <c r="M171" s="12"/>
      <c r="N171" s="12"/>
      <c r="P171" s="12"/>
      <c r="Q171" s="12"/>
      <c r="R171" s="12"/>
      <c r="T171" s="12"/>
      <c r="U171" s="12"/>
      <c r="V171" s="12"/>
      <c r="X171" s="12"/>
      <c r="Y171" s="12"/>
      <c r="Z171" s="12"/>
    </row>
    <row r="172" spans="1:26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L172" s="12"/>
      <c r="M172" s="12"/>
      <c r="N172" s="12"/>
      <c r="P172" s="12"/>
      <c r="Q172" s="12"/>
      <c r="R172" s="12"/>
      <c r="T172" s="12"/>
      <c r="U172" s="12"/>
      <c r="V172" s="12"/>
      <c r="X172" s="12"/>
      <c r="Y172" s="12"/>
      <c r="Z172" s="12"/>
    </row>
    <row r="173" spans="1:26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L173" s="12"/>
      <c r="M173" s="12"/>
      <c r="N173" s="12"/>
      <c r="P173" s="12"/>
      <c r="Q173" s="12"/>
      <c r="R173" s="12"/>
      <c r="T173" s="12"/>
      <c r="U173" s="12"/>
      <c r="V173" s="12"/>
      <c r="X173" s="12"/>
      <c r="Y173" s="12"/>
      <c r="Z173" s="12"/>
    </row>
    <row r="174" spans="1:26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L174" s="12"/>
      <c r="M174" s="12"/>
      <c r="N174" s="12"/>
      <c r="P174" s="12"/>
      <c r="Q174" s="12"/>
      <c r="R174" s="12"/>
      <c r="T174" s="12"/>
      <c r="U174" s="12"/>
      <c r="V174" s="12"/>
      <c r="X174" s="12"/>
      <c r="Y174" s="12"/>
      <c r="Z174" s="12"/>
    </row>
    <row r="175" spans="1:26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L175" s="12"/>
      <c r="M175" s="12"/>
      <c r="N175" s="12"/>
      <c r="P175" s="12"/>
      <c r="Q175" s="12"/>
      <c r="R175" s="12"/>
      <c r="T175" s="12"/>
      <c r="U175" s="12"/>
      <c r="V175" s="12"/>
      <c r="X175" s="12"/>
      <c r="Y175" s="12"/>
      <c r="Z175" s="12"/>
    </row>
    <row r="176" spans="1:26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L176" s="12"/>
      <c r="M176" s="12"/>
      <c r="N176" s="12"/>
      <c r="P176" s="12"/>
      <c r="Q176" s="12"/>
      <c r="R176" s="12"/>
      <c r="T176" s="12"/>
      <c r="U176" s="12"/>
      <c r="V176" s="12"/>
      <c r="X176" s="12"/>
      <c r="Y176" s="12"/>
      <c r="Z176" s="12"/>
    </row>
    <row r="177" spans="1:26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L177" s="12"/>
      <c r="M177" s="12"/>
      <c r="N177" s="12"/>
      <c r="P177" s="12"/>
      <c r="Q177" s="12"/>
      <c r="R177" s="12"/>
      <c r="T177" s="12"/>
      <c r="U177" s="12"/>
      <c r="V177" s="12"/>
      <c r="X177" s="12"/>
      <c r="Y177" s="12"/>
      <c r="Z177" s="12"/>
    </row>
    <row r="178" spans="1:26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L178" s="12"/>
      <c r="M178" s="12"/>
      <c r="N178" s="12"/>
      <c r="P178" s="12"/>
      <c r="Q178" s="12"/>
      <c r="R178" s="12"/>
      <c r="T178" s="12"/>
      <c r="U178" s="12"/>
      <c r="V178" s="12"/>
      <c r="X178" s="12"/>
      <c r="Y178" s="12"/>
      <c r="Z178" s="12"/>
    </row>
    <row r="179" spans="1:26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L179" s="12"/>
      <c r="M179" s="12"/>
      <c r="N179" s="12"/>
      <c r="P179" s="12"/>
      <c r="Q179" s="12"/>
      <c r="R179" s="12"/>
      <c r="T179" s="12"/>
      <c r="U179" s="12"/>
      <c r="V179" s="12"/>
      <c r="X179" s="12"/>
      <c r="Y179" s="12"/>
      <c r="Z179" s="12"/>
    </row>
    <row r="180" spans="1:26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L180" s="12"/>
      <c r="M180" s="12"/>
      <c r="N180" s="12"/>
      <c r="P180" s="12"/>
      <c r="Q180" s="12"/>
      <c r="R180" s="12"/>
      <c r="T180" s="12"/>
      <c r="U180" s="12"/>
      <c r="V180" s="12"/>
      <c r="X180" s="12"/>
      <c r="Y180" s="12"/>
      <c r="Z180" s="12"/>
    </row>
    <row r="181" spans="1:26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L181" s="12"/>
      <c r="M181" s="12"/>
      <c r="N181" s="12"/>
      <c r="P181" s="12"/>
      <c r="Q181" s="12"/>
      <c r="R181" s="12"/>
      <c r="T181" s="12"/>
      <c r="U181" s="12"/>
      <c r="V181" s="12"/>
      <c r="X181" s="12"/>
      <c r="Y181" s="12"/>
      <c r="Z181" s="12"/>
    </row>
    <row r="182" spans="1:26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L182" s="12"/>
      <c r="M182" s="12"/>
      <c r="N182" s="12"/>
      <c r="P182" s="12"/>
      <c r="Q182" s="12"/>
      <c r="R182" s="12"/>
      <c r="T182" s="12"/>
      <c r="U182" s="12"/>
      <c r="V182" s="12"/>
      <c r="X182" s="12"/>
      <c r="Y182" s="12"/>
      <c r="Z182" s="12"/>
    </row>
    <row r="183" spans="1:26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L183" s="12"/>
      <c r="M183" s="12"/>
      <c r="N183" s="12"/>
      <c r="P183" s="12"/>
      <c r="Q183" s="12"/>
      <c r="R183" s="12"/>
      <c r="T183" s="12"/>
      <c r="U183" s="12"/>
      <c r="V183" s="12"/>
      <c r="X183" s="12"/>
      <c r="Y183" s="12"/>
      <c r="Z183" s="12"/>
    </row>
    <row r="184" spans="1:26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L184" s="12"/>
      <c r="M184" s="12"/>
      <c r="N184" s="12"/>
      <c r="P184" s="12"/>
      <c r="Q184" s="12"/>
      <c r="R184" s="12"/>
      <c r="T184" s="12"/>
      <c r="U184" s="12"/>
      <c r="V184" s="12"/>
      <c r="X184" s="12"/>
      <c r="Y184" s="12"/>
      <c r="Z184" s="12"/>
    </row>
    <row r="185" spans="1:26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L185" s="12"/>
      <c r="M185" s="12"/>
      <c r="N185" s="12"/>
      <c r="P185" s="12"/>
      <c r="Q185" s="12"/>
      <c r="R185" s="12"/>
      <c r="T185" s="12"/>
      <c r="U185" s="12"/>
      <c r="V185" s="12"/>
      <c r="X185" s="12"/>
      <c r="Y185" s="12"/>
      <c r="Z185" s="12"/>
    </row>
    <row r="186" spans="1:26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L186" s="12"/>
      <c r="M186" s="12"/>
      <c r="N186" s="12"/>
      <c r="P186" s="12"/>
      <c r="Q186" s="12"/>
      <c r="R186" s="12"/>
      <c r="T186" s="12"/>
      <c r="U186" s="12"/>
      <c r="V186" s="12"/>
      <c r="X186" s="12"/>
      <c r="Y186" s="12"/>
      <c r="Z186" s="12"/>
    </row>
    <row r="187" spans="1:26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L187" s="12"/>
      <c r="M187" s="12"/>
      <c r="N187" s="12"/>
      <c r="P187" s="12"/>
      <c r="Q187" s="12"/>
      <c r="R187" s="12"/>
      <c r="T187" s="12"/>
      <c r="U187" s="12"/>
      <c r="V187" s="12"/>
      <c r="X187" s="12"/>
      <c r="Y187" s="12"/>
      <c r="Z187" s="12"/>
    </row>
    <row r="188" spans="1:26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L188" s="12"/>
      <c r="M188" s="12"/>
      <c r="N188" s="12"/>
      <c r="P188" s="12"/>
      <c r="Q188" s="12"/>
      <c r="R188" s="12"/>
      <c r="T188" s="12"/>
      <c r="U188" s="12"/>
      <c r="V188" s="12"/>
      <c r="X188" s="12"/>
      <c r="Y188" s="12"/>
      <c r="Z188" s="12"/>
    </row>
    <row r="189" spans="1:26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L189" s="12"/>
      <c r="M189" s="12"/>
      <c r="N189" s="12"/>
      <c r="P189" s="12"/>
      <c r="Q189" s="12"/>
      <c r="R189" s="12"/>
      <c r="T189" s="12"/>
      <c r="U189" s="12"/>
      <c r="V189" s="12"/>
      <c r="X189" s="12"/>
      <c r="Y189" s="12"/>
      <c r="Z189" s="12"/>
    </row>
    <row r="190" spans="1:26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L190" s="12"/>
      <c r="M190" s="12"/>
      <c r="N190" s="12"/>
      <c r="P190" s="12"/>
      <c r="Q190" s="12"/>
      <c r="R190" s="12"/>
      <c r="T190" s="12"/>
      <c r="U190" s="12"/>
      <c r="V190" s="12"/>
      <c r="X190" s="12"/>
      <c r="Y190" s="12"/>
      <c r="Z190" s="12"/>
    </row>
    <row r="191" spans="1:26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L191" s="12"/>
      <c r="M191" s="12"/>
      <c r="N191" s="12"/>
      <c r="P191" s="12"/>
      <c r="Q191" s="12"/>
      <c r="R191" s="12"/>
      <c r="T191" s="12"/>
      <c r="U191" s="12"/>
      <c r="V191" s="12"/>
      <c r="X191" s="12"/>
      <c r="Y191" s="12"/>
      <c r="Z191" s="12"/>
    </row>
    <row r="192" spans="1:26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L192" s="12"/>
      <c r="M192" s="12"/>
      <c r="N192" s="12"/>
      <c r="P192" s="12"/>
      <c r="Q192" s="12"/>
      <c r="R192" s="12"/>
      <c r="T192" s="12"/>
      <c r="U192" s="12"/>
      <c r="V192" s="12"/>
      <c r="X192" s="12"/>
      <c r="Y192" s="12"/>
      <c r="Z192" s="12"/>
    </row>
    <row r="193" spans="1:26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L193" s="12"/>
      <c r="M193" s="12"/>
      <c r="N193" s="12"/>
      <c r="P193" s="12"/>
      <c r="Q193" s="12"/>
      <c r="R193" s="12"/>
      <c r="T193" s="12"/>
      <c r="U193" s="12"/>
      <c r="V193" s="12"/>
      <c r="X193" s="12"/>
      <c r="Y193" s="12"/>
      <c r="Z193" s="12"/>
    </row>
    <row r="194" spans="1:26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L194" s="12"/>
      <c r="M194" s="12"/>
      <c r="N194" s="12"/>
      <c r="P194" s="12"/>
      <c r="Q194" s="12"/>
      <c r="R194" s="12"/>
      <c r="T194" s="12"/>
      <c r="U194" s="12"/>
      <c r="V194" s="12"/>
      <c r="X194" s="12"/>
      <c r="Y194" s="12"/>
      <c r="Z194" s="12"/>
    </row>
    <row r="195" spans="1:26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L195" s="12"/>
      <c r="M195" s="12"/>
      <c r="N195" s="12"/>
      <c r="P195" s="12"/>
      <c r="Q195" s="12"/>
      <c r="R195" s="12"/>
      <c r="T195" s="12"/>
      <c r="U195" s="12"/>
      <c r="V195" s="12"/>
      <c r="X195" s="12"/>
      <c r="Y195" s="12"/>
      <c r="Z195" s="12"/>
    </row>
    <row r="196" spans="1:26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L196" s="12"/>
      <c r="M196" s="12"/>
      <c r="N196" s="12"/>
      <c r="P196" s="12"/>
      <c r="Q196" s="12"/>
      <c r="R196" s="12"/>
      <c r="T196" s="12"/>
      <c r="U196" s="12"/>
      <c r="V196" s="12"/>
      <c r="X196" s="12"/>
      <c r="Y196" s="12"/>
      <c r="Z196" s="12"/>
    </row>
    <row r="197" spans="1:26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L197" s="12"/>
      <c r="M197" s="12"/>
      <c r="N197" s="12"/>
      <c r="P197" s="12"/>
      <c r="Q197" s="12"/>
      <c r="R197" s="12"/>
      <c r="T197" s="12"/>
      <c r="U197" s="12"/>
      <c r="V197" s="12"/>
      <c r="X197" s="12"/>
      <c r="Y197" s="12"/>
      <c r="Z197" s="12"/>
    </row>
    <row r="198" spans="1:26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L198" s="12"/>
      <c r="M198" s="12"/>
      <c r="N198" s="12"/>
      <c r="P198" s="12"/>
      <c r="Q198" s="12"/>
      <c r="R198" s="12"/>
      <c r="T198" s="12"/>
      <c r="U198" s="12"/>
      <c r="V198" s="12"/>
      <c r="X198" s="12"/>
      <c r="Y198" s="12"/>
      <c r="Z198" s="12"/>
    </row>
    <row r="199" spans="1:26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L199" s="12"/>
      <c r="M199" s="12"/>
      <c r="N199" s="12"/>
      <c r="P199" s="12"/>
      <c r="Q199" s="12"/>
      <c r="R199" s="12"/>
      <c r="T199" s="12"/>
      <c r="U199" s="12"/>
      <c r="V199" s="12"/>
      <c r="X199" s="12"/>
      <c r="Y199" s="12"/>
      <c r="Z199" s="12"/>
    </row>
    <row r="200" spans="1:26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L200" s="12"/>
      <c r="M200" s="12"/>
      <c r="N200" s="12"/>
      <c r="P200" s="12"/>
      <c r="Q200" s="12"/>
      <c r="R200" s="12"/>
      <c r="T200" s="12"/>
      <c r="U200" s="12"/>
      <c r="V200" s="12"/>
      <c r="X200" s="12"/>
      <c r="Y200" s="12"/>
      <c r="Z200" s="12"/>
    </row>
    <row r="201" spans="1:26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L201" s="12"/>
      <c r="M201" s="12"/>
      <c r="N201" s="12"/>
      <c r="P201" s="12"/>
      <c r="Q201" s="12"/>
      <c r="R201" s="12"/>
      <c r="T201" s="12"/>
      <c r="U201" s="12"/>
      <c r="V201" s="12"/>
      <c r="X201" s="12"/>
      <c r="Y201" s="12"/>
      <c r="Z201" s="12"/>
    </row>
    <row r="202" spans="1:26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L202" s="12"/>
      <c r="M202" s="12"/>
      <c r="N202" s="12"/>
      <c r="P202" s="12"/>
      <c r="Q202" s="12"/>
      <c r="R202" s="12"/>
      <c r="T202" s="12"/>
      <c r="U202" s="12"/>
      <c r="V202" s="12"/>
      <c r="X202" s="12"/>
      <c r="Y202" s="12"/>
      <c r="Z202" s="12"/>
    </row>
    <row r="203" spans="1:26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L203" s="12"/>
      <c r="M203" s="12"/>
      <c r="N203" s="12"/>
      <c r="P203" s="12"/>
      <c r="Q203" s="12"/>
      <c r="R203" s="12"/>
      <c r="T203" s="12"/>
      <c r="U203" s="12"/>
      <c r="V203" s="12"/>
      <c r="X203" s="12"/>
      <c r="Y203" s="12"/>
      <c r="Z203" s="12"/>
    </row>
    <row r="204" spans="1:26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L204" s="12"/>
      <c r="M204" s="12"/>
      <c r="N204" s="12"/>
      <c r="P204" s="12"/>
      <c r="Q204" s="12"/>
      <c r="R204" s="12"/>
      <c r="T204" s="12"/>
      <c r="U204" s="12"/>
      <c r="V204" s="12"/>
      <c r="X204" s="12"/>
      <c r="Y204" s="12"/>
      <c r="Z204" s="12"/>
    </row>
    <row r="205" spans="1:26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L205" s="12"/>
      <c r="M205" s="12"/>
      <c r="N205" s="12"/>
      <c r="P205" s="12"/>
      <c r="Q205" s="12"/>
      <c r="R205" s="12"/>
      <c r="T205" s="12"/>
      <c r="U205" s="12"/>
      <c r="V205" s="12"/>
      <c r="X205" s="12"/>
      <c r="Y205" s="12"/>
      <c r="Z205" s="12"/>
    </row>
    <row r="206" spans="1:26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L206" s="12"/>
      <c r="M206" s="12"/>
      <c r="N206" s="12"/>
      <c r="P206" s="12"/>
      <c r="Q206" s="12"/>
      <c r="R206" s="12"/>
      <c r="T206" s="12"/>
      <c r="U206" s="12"/>
      <c r="V206" s="12"/>
      <c r="X206" s="12"/>
      <c r="Y206" s="12"/>
      <c r="Z206" s="12"/>
    </row>
    <row r="207" spans="1:26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L207" s="12"/>
      <c r="M207" s="12"/>
      <c r="N207" s="12"/>
      <c r="P207" s="12"/>
      <c r="Q207" s="12"/>
      <c r="R207" s="12"/>
      <c r="T207" s="12"/>
      <c r="U207" s="12"/>
      <c r="V207" s="12"/>
      <c r="X207" s="12"/>
      <c r="Y207" s="12"/>
      <c r="Z207" s="12"/>
    </row>
    <row r="208" spans="1:26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L208" s="12"/>
      <c r="M208" s="12"/>
      <c r="N208" s="12"/>
      <c r="P208" s="12"/>
      <c r="Q208" s="12"/>
      <c r="R208" s="12"/>
      <c r="T208" s="12"/>
      <c r="U208" s="12"/>
      <c r="V208" s="12"/>
      <c r="X208" s="12"/>
      <c r="Y208" s="12"/>
      <c r="Z208" s="12"/>
    </row>
    <row r="209" spans="1:26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L209" s="12"/>
      <c r="M209" s="12"/>
      <c r="N209" s="12"/>
      <c r="P209" s="12"/>
      <c r="Q209" s="12"/>
      <c r="R209" s="12"/>
      <c r="T209" s="12"/>
      <c r="U209" s="12"/>
      <c r="V209" s="12"/>
      <c r="X209" s="12"/>
      <c r="Y209" s="12"/>
      <c r="Z209" s="12"/>
    </row>
    <row r="210" spans="1:26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L210" s="12"/>
      <c r="M210" s="12"/>
      <c r="N210" s="12"/>
      <c r="P210" s="12"/>
      <c r="Q210" s="12"/>
      <c r="R210" s="12"/>
      <c r="T210" s="12"/>
      <c r="U210" s="12"/>
      <c r="V210" s="12"/>
      <c r="X210" s="12"/>
      <c r="Y210" s="12"/>
      <c r="Z210" s="12"/>
    </row>
    <row r="211" spans="1:26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L211" s="12"/>
      <c r="M211" s="12"/>
      <c r="N211" s="12"/>
      <c r="P211" s="12"/>
      <c r="Q211" s="12"/>
      <c r="R211" s="12"/>
      <c r="T211" s="12"/>
      <c r="U211" s="12"/>
      <c r="V211" s="12"/>
      <c r="X211" s="12"/>
      <c r="Y211" s="12"/>
      <c r="Z211" s="12"/>
    </row>
    <row r="212" spans="1:26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L212" s="12"/>
      <c r="M212" s="12"/>
      <c r="N212" s="12"/>
      <c r="P212" s="12"/>
      <c r="Q212" s="12"/>
      <c r="R212" s="12"/>
      <c r="T212" s="12"/>
      <c r="U212" s="12"/>
      <c r="V212" s="12"/>
      <c r="X212" s="12"/>
      <c r="Y212" s="12"/>
      <c r="Z212" s="12"/>
    </row>
    <row r="213" spans="1:26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L213" s="12"/>
      <c r="M213" s="12"/>
      <c r="N213" s="12"/>
      <c r="P213" s="12"/>
      <c r="Q213" s="12"/>
      <c r="R213" s="12"/>
      <c r="T213" s="12"/>
      <c r="U213" s="12"/>
      <c r="V213" s="12"/>
      <c r="X213" s="12"/>
      <c r="Y213" s="12"/>
      <c r="Z213" s="12"/>
    </row>
    <row r="214" spans="1:26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L214" s="12"/>
      <c r="M214" s="12"/>
      <c r="N214" s="12"/>
      <c r="P214" s="12"/>
      <c r="Q214" s="12"/>
      <c r="R214" s="12"/>
      <c r="T214" s="12"/>
      <c r="U214" s="12"/>
      <c r="V214" s="12"/>
      <c r="X214" s="12"/>
      <c r="Y214" s="12"/>
      <c r="Z214" s="12"/>
    </row>
    <row r="215" spans="1:26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L215" s="12"/>
      <c r="M215" s="12"/>
      <c r="N215" s="12"/>
      <c r="P215" s="12"/>
      <c r="Q215" s="12"/>
      <c r="R215" s="12"/>
      <c r="T215" s="12"/>
      <c r="U215" s="12"/>
      <c r="V215" s="12"/>
      <c r="X215" s="12"/>
      <c r="Y215" s="12"/>
      <c r="Z215" s="12"/>
    </row>
    <row r="216" spans="1:26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L216" s="12"/>
      <c r="M216" s="12"/>
      <c r="N216" s="12"/>
      <c r="P216" s="12"/>
      <c r="Q216" s="12"/>
      <c r="R216" s="12"/>
      <c r="T216" s="12"/>
      <c r="U216" s="12"/>
      <c r="V216" s="12"/>
      <c r="X216" s="12"/>
      <c r="Y216" s="12"/>
      <c r="Z216" s="12"/>
    </row>
    <row r="217" spans="1:26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L217" s="12"/>
      <c r="M217" s="12"/>
      <c r="N217" s="12"/>
      <c r="P217" s="12"/>
      <c r="Q217" s="12"/>
      <c r="R217" s="12"/>
      <c r="T217" s="12"/>
      <c r="U217" s="12"/>
      <c r="V217" s="12"/>
      <c r="X217" s="12"/>
      <c r="Y217" s="12"/>
      <c r="Z217" s="12"/>
    </row>
    <row r="218" spans="1:26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L218" s="12"/>
      <c r="M218" s="12"/>
      <c r="N218" s="12"/>
      <c r="P218" s="12"/>
      <c r="Q218" s="12"/>
      <c r="R218" s="12"/>
      <c r="T218" s="12"/>
      <c r="U218" s="12"/>
      <c r="V218" s="12"/>
      <c r="X218" s="12"/>
      <c r="Y218" s="12"/>
      <c r="Z218" s="12"/>
    </row>
    <row r="219" spans="1:26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L219" s="12"/>
      <c r="M219" s="12"/>
      <c r="N219" s="12"/>
      <c r="P219" s="12"/>
      <c r="Q219" s="12"/>
      <c r="R219" s="12"/>
      <c r="T219" s="12"/>
      <c r="U219" s="12"/>
      <c r="V219" s="12"/>
      <c r="X219" s="12"/>
      <c r="Y219" s="12"/>
      <c r="Z219" s="12"/>
    </row>
    <row r="220" spans="1:26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L220" s="12"/>
      <c r="M220" s="12"/>
      <c r="N220" s="12"/>
      <c r="P220" s="12"/>
      <c r="Q220" s="12"/>
      <c r="R220" s="12"/>
      <c r="T220" s="12"/>
      <c r="U220" s="12"/>
      <c r="V220" s="12"/>
      <c r="X220" s="12"/>
      <c r="Y220" s="12"/>
      <c r="Z220" s="12"/>
    </row>
    <row r="221" spans="1:26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L221" s="12"/>
      <c r="M221" s="12"/>
      <c r="N221" s="12"/>
      <c r="P221" s="12"/>
      <c r="Q221" s="12"/>
      <c r="R221" s="12"/>
      <c r="T221" s="12"/>
      <c r="U221" s="12"/>
      <c r="V221" s="12"/>
      <c r="X221" s="12"/>
      <c r="Y221" s="12"/>
      <c r="Z221" s="12"/>
    </row>
    <row r="222" spans="1:26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L222" s="12"/>
      <c r="M222" s="12"/>
      <c r="N222" s="12"/>
      <c r="P222" s="12"/>
      <c r="Q222" s="12"/>
      <c r="R222" s="12"/>
      <c r="T222" s="12"/>
      <c r="U222" s="12"/>
      <c r="V222" s="12"/>
      <c r="X222" s="12"/>
      <c r="Y222" s="12"/>
      <c r="Z222" s="12"/>
    </row>
    <row r="223" spans="1:26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L223" s="12"/>
      <c r="M223" s="12"/>
      <c r="N223" s="12"/>
      <c r="P223" s="12"/>
      <c r="Q223" s="12"/>
      <c r="R223" s="12"/>
      <c r="T223" s="12"/>
      <c r="U223" s="12"/>
      <c r="V223" s="12"/>
      <c r="X223" s="12"/>
      <c r="Y223" s="12"/>
      <c r="Z223" s="12"/>
    </row>
    <row r="224" spans="1:26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L224" s="12"/>
      <c r="M224" s="12"/>
      <c r="N224" s="12"/>
      <c r="P224" s="12"/>
      <c r="Q224" s="12"/>
      <c r="R224" s="12"/>
      <c r="T224" s="12"/>
      <c r="U224" s="12"/>
      <c r="V224" s="12"/>
      <c r="X224" s="12"/>
      <c r="Y224" s="12"/>
      <c r="Z224" s="12"/>
    </row>
    <row r="225" spans="1:26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L225" s="12"/>
      <c r="M225" s="12"/>
      <c r="N225" s="12"/>
      <c r="P225" s="12"/>
      <c r="Q225" s="12"/>
      <c r="R225" s="12"/>
      <c r="T225" s="12"/>
      <c r="U225" s="12"/>
      <c r="V225" s="12"/>
      <c r="X225" s="12"/>
      <c r="Y225" s="12"/>
      <c r="Z225" s="12"/>
    </row>
    <row r="226" spans="1:26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L226" s="12"/>
      <c r="M226" s="12"/>
      <c r="N226" s="12"/>
      <c r="P226" s="12"/>
      <c r="Q226" s="12"/>
      <c r="R226" s="12"/>
      <c r="T226" s="12"/>
      <c r="U226" s="12"/>
      <c r="V226" s="12"/>
      <c r="X226" s="12"/>
      <c r="Y226" s="12"/>
      <c r="Z226" s="12"/>
    </row>
    <row r="227" spans="1:26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L227" s="12"/>
      <c r="M227" s="12"/>
      <c r="N227" s="12"/>
      <c r="P227" s="12"/>
      <c r="Q227" s="12"/>
      <c r="R227" s="12"/>
      <c r="T227" s="12"/>
      <c r="U227" s="12"/>
      <c r="V227" s="12"/>
      <c r="X227" s="12"/>
      <c r="Y227" s="12"/>
      <c r="Z227" s="12"/>
    </row>
    <row r="228" spans="1:26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L228" s="12"/>
      <c r="M228" s="12"/>
      <c r="N228" s="12"/>
      <c r="P228" s="12"/>
      <c r="Q228" s="12"/>
      <c r="R228" s="12"/>
      <c r="T228" s="12"/>
      <c r="U228" s="12"/>
      <c r="V228" s="12"/>
      <c r="X228" s="12"/>
      <c r="Y228" s="12"/>
      <c r="Z228" s="12"/>
    </row>
    <row r="229" spans="1:26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L229" s="12"/>
      <c r="M229" s="12"/>
      <c r="N229" s="12"/>
      <c r="P229" s="12"/>
      <c r="Q229" s="12"/>
      <c r="R229" s="12"/>
      <c r="T229" s="12"/>
      <c r="U229" s="12"/>
      <c r="V229" s="12"/>
      <c r="X229" s="12"/>
      <c r="Y229" s="12"/>
      <c r="Z229" s="12"/>
    </row>
    <row r="230" spans="1:26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L230" s="12"/>
      <c r="M230" s="12"/>
      <c r="N230" s="12"/>
      <c r="P230" s="12"/>
      <c r="Q230" s="12"/>
      <c r="R230" s="12"/>
      <c r="T230" s="12"/>
      <c r="U230" s="12"/>
      <c r="V230" s="12"/>
      <c r="X230" s="12"/>
      <c r="Y230" s="12"/>
      <c r="Z230" s="12"/>
    </row>
    <row r="231" spans="1:26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L231" s="12"/>
      <c r="M231" s="12"/>
      <c r="N231" s="12"/>
      <c r="P231" s="12"/>
      <c r="Q231" s="12"/>
      <c r="R231" s="12"/>
      <c r="T231" s="12"/>
      <c r="U231" s="12"/>
      <c r="V231" s="12"/>
      <c r="X231" s="12"/>
      <c r="Y231" s="12"/>
      <c r="Z231" s="12"/>
    </row>
    <row r="232" spans="1:26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L232" s="12"/>
      <c r="M232" s="12"/>
      <c r="N232" s="12"/>
      <c r="P232" s="12"/>
      <c r="Q232" s="12"/>
      <c r="R232" s="12"/>
      <c r="T232" s="12"/>
      <c r="U232" s="12"/>
      <c r="V232" s="12"/>
      <c r="X232" s="12"/>
      <c r="Y232" s="12"/>
      <c r="Z232" s="12"/>
    </row>
    <row r="233" spans="1:26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L233" s="12"/>
      <c r="M233" s="12"/>
      <c r="N233" s="12"/>
      <c r="P233" s="12"/>
      <c r="Q233" s="12"/>
      <c r="R233" s="12"/>
      <c r="T233" s="12"/>
      <c r="U233" s="12"/>
      <c r="V233" s="12"/>
      <c r="X233" s="12"/>
      <c r="Y233" s="12"/>
      <c r="Z233" s="12"/>
    </row>
    <row r="234" spans="1:26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L234" s="12"/>
      <c r="M234" s="12"/>
      <c r="N234" s="12"/>
      <c r="P234" s="12"/>
      <c r="Q234" s="12"/>
      <c r="R234" s="12"/>
      <c r="T234" s="12"/>
      <c r="U234" s="12"/>
      <c r="V234" s="12"/>
      <c r="X234" s="12"/>
      <c r="Y234" s="12"/>
      <c r="Z234" s="12"/>
    </row>
    <row r="235" spans="1:26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L235" s="12"/>
      <c r="M235" s="12"/>
      <c r="N235" s="12"/>
      <c r="P235" s="12"/>
      <c r="Q235" s="12"/>
      <c r="R235" s="12"/>
      <c r="T235" s="12"/>
      <c r="U235" s="12"/>
      <c r="V235" s="12"/>
      <c r="X235" s="12"/>
      <c r="Y235" s="12"/>
      <c r="Z235" s="12"/>
    </row>
    <row r="236" spans="1:26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L236" s="12"/>
      <c r="M236" s="12"/>
      <c r="N236" s="12"/>
      <c r="P236" s="12"/>
      <c r="Q236" s="12"/>
      <c r="R236" s="12"/>
      <c r="T236" s="12"/>
      <c r="U236" s="12"/>
      <c r="V236" s="12"/>
      <c r="X236" s="12"/>
      <c r="Y236" s="12"/>
      <c r="Z236" s="12"/>
    </row>
    <row r="237" spans="1:26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L237" s="12"/>
      <c r="M237" s="12"/>
      <c r="N237" s="12"/>
      <c r="P237" s="12"/>
      <c r="Q237" s="12"/>
      <c r="R237" s="12"/>
      <c r="T237" s="12"/>
      <c r="U237" s="12"/>
      <c r="V237" s="12"/>
      <c r="X237" s="12"/>
      <c r="Y237" s="12"/>
      <c r="Z237" s="12"/>
    </row>
    <row r="238" spans="1:26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L238" s="12"/>
      <c r="M238" s="12"/>
      <c r="N238" s="12"/>
      <c r="P238" s="12"/>
      <c r="Q238" s="12"/>
      <c r="R238" s="12"/>
      <c r="T238" s="12"/>
      <c r="U238" s="12"/>
      <c r="V238" s="12"/>
      <c r="X238" s="12"/>
      <c r="Y238" s="12"/>
      <c r="Z238" s="12"/>
    </row>
    <row r="239" spans="1:26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L239" s="12"/>
      <c r="M239" s="12"/>
      <c r="N239" s="12"/>
      <c r="P239" s="12"/>
      <c r="Q239" s="12"/>
      <c r="R239" s="12"/>
      <c r="T239" s="12"/>
      <c r="U239" s="12"/>
      <c r="V239" s="12"/>
      <c r="X239" s="12"/>
      <c r="Y239" s="12"/>
      <c r="Z239" s="12"/>
    </row>
    <row r="240" spans="1:26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L240" s="12"/>
      <c r="M240" s="12"/>
      <c r="N240" s="12"/>
      <c r="P240" s="12"/>
      <c r="Q240" s="12"/>
      <c r="R240" s="12"/>
      <c r="T240" s="12"/>
      <c r="U240" s="12"/>
      <c r="V240" s="12"/>
      <c r="X240" s="12"/>
      <c r="Y240" s="12"/>
      <c r="Z240" s="12"/>
    </row>
    <row r="241" spans="1:26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L241" s="12"/>
      <c r="M241" s="12"/>
      <c r="N241" s="12"/>
      <c r="P241" s="12"/>
      <c r="Q241" s="12"/>
      <c r="R241" s="12"/>
      <c r="T241" s="12"/>
      <c r="U241" s="12"/>
      <c r="V241" s="12"/>
      <c r="X241" s="12"/>
      <c r="Y241" s="12"/>
      <c r="Z241" s="12"/>
    </row>
    <row r="242" spans="1:26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L242" s="12"/>
      <c r="M242" s="12"/>
      <c r="N242" s="12"/>
      <c r="P242" s="12"/>
      <c r="Q242" s="12"/>
      <c r="R242" s="12"/>
      <c r="T242" s="12"/>
      <c r="U242" s="12"/>
      <c r="V242" s="12"/>
      <c r="X242" s="12"/>
      <c r="Y242" s="12"/>
      <c r="Z242" s="12"/>
    </row>
    <row r="243" spans="1:26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L243" s="12"/>
      <c r="M243" s="12"/>
      <c r="N243" s="12"/>
      <c r="P243" s="12"/>
      <c r="Q243" s="12"/>
      <c r="R243" s="12"/>
      <c r="T243" s="12"/>
      <c r="U243" s="12"/>
      <c r="V243" s="12"/>
      <c r="X243" s="12"/>
      <c r="Y243" s="12"/>
      <c r="Z243" s="12"/>
    </row>
    <row r="244" spans="1:26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L244" s="12"/>
      <c r="M244" s="12"/>
      <c r="N244" s="12"/>
      <c r="P244" s="12"/>
      <c r="Q244" s="12"/>
      <c r="R244" s="12"/>
      <c r="T244" s="12"/>
      <c r="U244" s="12"/>
      <c r="V244" s="12"/>
      <c r="X244" s="12"/>
      <c r="Y244" s="12"/>
      <c r="Z244" s="12"/>
    </row>
    <row r="245" spans="1:26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L245" s="12"/>
      <c r="M245" s="12"/>
      <c r="N245" s="12"/>
      <c r="P245" s="12"/>
      <c r="Q245" s="12"/>
      <c r="R245" s="12"/>
      <c r="T245" s="12"/>
      <c r="U245" s="12"/>
      <c r="V245" s="12"/>
      <c r="X245" s="12"/>
      <c r="Y245" s="12"/>
      <c r="Z245" s="12"/>
    </row>
    <row r="246" spans="1:26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L246" s="12"/>
      <c r="M246" s="12"/>
      <c r="N246" s="12"/>
      <c r="P246" s="12"/>
      <c r="Q246" s="12"/>
      <c r="R246" s="12"/>
      <c r="T246" s="12"/>
      <c r="U246" s="12"/>
      <c r="V246" s="12"/>
      <c r="X246" s="12"/>
      <c r="Y246" s="12"/>
      <c r="Z246" s="12"/>
    </row>
    <row r="247" spans="1:26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L247" s="12"/>
      <c r="M247" s="12"/>
      <c r="N247" s="12"/>
      <c r="P247" s="12"/>
      <c r="Q247" s="12"/>
      <c r="R247" s="12"/>
      <c r="T247" s="12"/>
      <c r="U247" s="12"/>
      <c r="V247" s="12"/>
      <c r="X247" s="12"/>
      <c r="Y247" s="12"/>
      <c r="Z247" s="12"/>
    </row>
    <row r="248" spans="1:26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L248" s="12"/>
      <c r="M248" s="12"/>
      <c r="N248" s="12"/>
      <c r="P248" s="12"/>
      <c r="Q248" s="12"/>
      <c r="R248" s="12"/>
      <c r="T248" s="12"/>
      <c r="U248" s="12"/>
      <c r="V248" s="12"/>
      <c r="X248" s="12"/>
      <c r="Y248" s="12"/>
      <c r="Z248" s="12"/>
    </row>
    <row r="249" spans="1:26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L249" s="12"/>
      <c r="M249" s="12"/>
      <c r="N249" s="12"/>
      <c r="P249" s="12"/>
      <c r="Q249" s="12"/>
      <c r="R249" s="12"/>
      <c r="T249" s="12"/>
      <c r="U249" s="12"/>
      <c r="V249" s="12"/>
      <c r="X249" s="12"/>
      <c r="Y249" s="12"/>
      <c r="Z249" s="12"/>
    </row>
    <row r="250" spans="1:26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L250" s="12"/>
      <c r="M250" s="12"/>
      <c r="N250" s="12"/>
      <c r="P250" s="12"/>
      <c r="Q250" s="12"/>
      <c r="R250" s="12"/>
      <c r="T250" s="12"/>
      <c r="U250" s="12"/>
      <c r="V250" s="12"/>
      <c r="X250" s="12"/>
      <c r="Y250" s="12"/>
      <c r="Z250" s="12"/>
    </row>
    <row r="251" spans="1:26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L251" s="12"/>
      <c r="M251" s="12"/>
      <c r="N251" s="12"/>
      <c r="P251" s="12"/>
      <c r="Q251" s="12"/>
      <c r="R251" s="12"/>
      <c r="T251" s="12"/>
      <c r="U251" s="12"/>
      <c r="V251" s="12"/>
      <c r="X251" s="12"/>
      <c r="Y251" s="12"/>
      <c r="Z251" s="12"/>
    </row>
  </sheetData>
  <mergeCells count="1">
    <mergeCell ref="A1:I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ASI_BUS</vt:lpstr>
      <vt:lpstr>ОСЬ X</vt:lpstr>
      <vt:lpstr>ОСЬ Y</vt:lpstr>
      <vt:lpstr>ОСЬ Z</vt:lpstr>
      <vt:lpstr>Перемещение</vt:lpstr>
      <vt:lpstr>@</vt:lpstr>
      <vt:lpstr>Начальные условия и парам.</vt:lpstr>
      <vt:lpstr>аксел-ры 1 и 2 и интегр-ие  </vt:lpstr>
      <vt:lpstr>Ур-ие движ. т 1,2 3-6 угол пов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2025-07-10T21:42:11Z</dcterms:created>
  <dcterms:modified xsi:type="dcterms:W3CDTF">2025-08-06T12:05:48Z</dcterms:modified>
</cp:coreProperties>
</file>